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 activeTab="1"/>
  </bookViews>
  <sheets>
    <sheet name="达修波得" sheetId="7" r:id="rId1"/>
    <sheet name="国家杯積分榜" sheetId="1" r:id="rId2"/>
    <sheet name="国家杯" sheetId="2" r:id="rId3"/>
  </sheets>
  <functionGroups/>
  <calcPr calcId="124519" concurrentCalc="0"/>
</workbook>
</file>

<file path=xl/calcChain.xml><?xml version="1.0" encoding="utf-8"?>
<calcChain xmlns="http://schemas.openxmlformats.org/spreadsheetml/2006/main">
  <c r="L2" i="1"/>
  <c r="L3"/>
  <c r="L4"/>
  <c r="L5"/>
  <c r="L6"/>
  <c r="L7"/>
  <c r="L8"/>
  <c r="L9"/>
  <c r="L10"/>
  <c r="L11"/>
  <c r="L12"/>
  <c r="L13"/>
  <c r="L14"/>
  <c r="L15"/>
  <c r="F73" i="2"/>
  <c r="G73"/>
  <c r="H73"/>
  <c r="F74"/>
  <c r="G74"/>
  <c r="H74"/>
  <c r="F75"/>
  <c r="G75"/>
  <c r="H75"/>
  <c r="F76"/>
  <c r="G76"/>
  <c r="H76"/>
  <c r="F77"/>
  <c r="G77"/>
  <c r="H77"/>
  <c r="F78"/>
  <c r="G78"/>
  <c r="H78"/>
  <c r="F79"/>
  <c r="G79"/>
  <c r="H79"/>
  <c r="F80"/>
  <c r="G80"/>
  <c r="H80"/>
  <c r="F81"/>
  <c r="G81"/>
  <c r="H81"/>
  <c r="F82"/>
  <c r="G82"/>
  <c r="H82"/>
  <c r="F83"/>
  <c r="G83"/>
  <c r="H83"/>
  <c r="F84"/>
  <c r="G84"/>
  <c r="H84"/>
  <c r="F85"/>
  <c r="G85"/>
  <c r="H85"/>
  <c r="F86"/>
  <c r="G86"/>
  <c r="H86"/>
  <c r="F87"/>
  <c r="G87"/>
  <c r="H87"/>
  <c r="F88"/>
  <c r="G88"/>
  <c r="H88"/>
  <c r="F89"/>
  <c r="G89"/>
  <c r="H89"/>
  <c r="F90"/>
  <c r="G90"/>
  <c r="H90"/>
  <c r="F91"/>
  <c r="G91"/>
  <c r="H91"/>
  <c r="F92"/>
  <c r="G92"/>
  <c r="H92"/>
  <c r="F93"/>
  <c r="G93"/>
  <c r="H93"/>
  <c r="F94"/>
  <c r="G94"/>
  <c r="H94"/>
  <c r="F95"/>
  <c r="G95"/>
  <c r="H95"/>
  <c r="F96"/>
  <c r="G96"/>
  <c r="H96"/>
  <c r="F97"/>
  <c r="G97"/>
  <c r="H97"/>
  <c r="F98"/>
  <c r="G98"/>
  <c r="H98"/>
  <c r="F99"/>
  <c r="G99"/>
  <c r="H99"/>
  <c r="F100"/>
  <c r="G100"/>
  <c r="H100"/>
  <c r="F101"/>
  <c r="G101"/>
  <c r="H101"/>
  <c r="F102"/>
  <c r="G102"/>
  <c r="H102"/>
  <c r="F103"/>
  <c r="G103"/>
  <c r="H103"/>
  <c r="F104"/>
  <c r="G104"/>
  <c r="H104"/>
  <c r="F105"/>
  <c r="G105"/>
  <c r="H105"/>
  <c r="F106"/>
  <c r="G106"/>
  <c r="H106"/>
  <c r="F107"/>
  <c r="G107"/>
  <c r="H107"/>
  <c r="F108"/>
  <c r="G108"/>
  <c r="H108"/>
  <c r="F109"/>
  <c r="G109"/>
  <c r="H109"/>
  <c r="F110"/>
  <c r="G110"/>
  <c r="H110"/>
  <c r="F111"/>
  <c r="G111"/>
  <c r="H111"/>
  <c r="F112"/>
  <c r="G112"/>
  <c r="H112"/>
  <c r="F113"/>
  <c r="G113"/>
  <c r="H113"/>
  <c r="F114"/>
  <c r="G114"/>
  <c r="H114"/>
  <c r="F115"/>
  <c r="G115"/>
  <c r="H115"/>
  <c r="F116"/>
  <c r="G116"/>
  <c r="H116"/>
  <c r="F117"/>
  <c r="G117"/>
  <c r="H117"/>
  <c r="F118"/>
  <c r="G118"/>
  <c r="H118"/>
  <c r="F119"/>
  <c r="G119"/>
  <c r="H119"/>
  <c r="F120"/>
  <c r="G120"/>
  <c r="H120"/>
  <c r="F121"/>
  <c r="G121"/>
  <c r="H121"/>
  <c r="F122"/>
  <c r="G122"/>
  <c r="H122"/>
  <c r="F123"/>
  <c r="G123"/>
  <c r="H123"/>
  <c r="F124"/>
  <c r="G124"/>
  <c r="H124"/>
  <c r="F125"/>
  <c r="G125"/>
  <c r="H125"/>
  <c r="F126"/>
  <c r="G126"/>
  <c r="H126"/>
  <c r="F127"/>
  <c r="G127"/>
  <c r="H127"/>
  <c r="F128"/>
  <c r="G128"/>
  <c r="H128"/>
  <c r="F129"/>
  <c r="G129"/>
  <c r="H129"/>
  <c r="F130"/>
  <c r="G130"/>
  <c r="H130"/>
  <c r="F131"/>
  <c r="G131"/>
  <c r="H131"/>
  <c r="F132"/>
  <c r="G132"/>
  <c r="H132"/>
  <c r="F133"/>
  <c r="G133"/>
  <c r="H133"/>
  <c r="F134"/>
  <c r="G134"/>
  <c r="H134"/>
  <c r="F135"/>
  <c r="G135"/>
  <c r="H135"/>
  <c r="F136"/>
  <c r="G136"/>
  <c r="H136"/>
  <c r="F137"/>
  <c r="G137"/>
  <c r="H137"/>
  <c r="F138"/>
  <c r="G138"/>
  <c r="H138"/>
  <c r="F139"/>
  <c r="G139"/>
  <c r="H139"/>
  <c r="F140"/>
  <c r="G140"/>
  <c r="H140"/>
  <c r="F141"/>
  <c r="G141"/>
  <c r="H141"/>
  <c r="F142"/>
  <c r="G142"/>
  <c r="H142"/>
  <c r="F143"/>
  <c r="G143"/>
  <c r="H143"/>
  <c r="F144"/>
  <c r="G144"/>
  <c r="H144"/>
  <c r="F145"/>
  <c r="G145"/>
  <c r="H145"/>
  <c r="F146"/>
  <c r="G146"/>
  <c r="H146"/>
  <c r="F147"/>
  <c r="G147"/>
  <c r="H147"/>
  <c r="F148"/>
  <c r="G148"/>
  <c r="H148"/>
  <c r="F149"/>
  <c r="G149"/>
  <c r="H149"/>
  <c r="F150"/>
  <c r="G150"/>
  <c r="H150"/>
  <c r="F151"/>
  <c r="G151"/>
  <c r="H151"/>
  <c r="F152"/>
  <c r="G152"/>
  <c r="H152"/>
  <c r="F153"/>
  <c r="G153"/>
  <c r="H153"/>
  <c r="F154"/>
  <c r="G154"/>
  <c r="H154"/>
  <c r="F155"/>
  <c r="G155"/>
  <c r="H155"/>
  <c r="F156"/>
  <c r="G156"/>
  <c r="H156"/>
  <c r="F157"/>
  <c r="G157"/>
  <c r="H157"/>
  <c r="F158"/>
  <c r="G158"/>
  <c r="H158"/>
  <c r="F159"/>
  <c r="G159"/>
  <c r="H159"/>
  <c r="F160"/>
  <c r="G160"/>
  <c r="H160"/>
  <c r="F161"/>
  <c r="G161"/>
  <c r="H161"/>
  <c r="F162"/>
  <c r="G162"/>
  <c r="H162"/>
  <c r="F163"/>
  <c r="G163"/>
  <c r="H163"/>
  <c r="F164"/>
  <c r="G164"/>
  <c r="H164"/>
  <c r="F165"/>
  <c r="G165"/>
  <c r="H165"/>
  <c r="F166"/>
  <c r="G166"/>
  <c r="H166"/>
  <c r="F167"/>
  <c r="G167"/>
  <c r="H167"/>
  <c r="F168"/>
  <c r="G168"/>
  <c r="H168"/>
  <c r="F169"/>
  <c r="G169"/>
  <c r="H169"/>
  <c r="F170"/>
  <c r="G170"/>
  <c r="H170"/>
  <c r="F171"/>
  <c r="G171"/>
  <c r="H171"/>
  <c r="F172"/>
  <c r="G172"/>
  <c r="H172"/>
  <c r="F173"/>
  <c r="G173"/>
  <c r="H173"/>
  <c r="F174"/>
  <c r="G174"/>
  <c r="H174"/>
  <c r="F175"/>
  <c r="G175"/>
  <c r="H175"/>
  <c r="F176"/>
  <c r="G176"/>
  <c r="H176"/>
  <c r="F177"/>
  <c r="G177"/>
  <c r="H177"/>
  <c r="F178"/>
  <c r="G178"/>
  <c r="H178"/>
  <c r="F179"/>
  <c r="G179"/>
  <c r="H179"/>
  <c r="F180"/>
  <c r="G180"/>
  <c r="H180"/>
  <c r="F181"/>
  <c r="G181"/>
  <c r="H181"/>
  <c r="F182"/>
  <c r="G182"/>
  <c r="H182"/>
  <c r="F183"/>
  <c r="G183"/>
  <c r="H183"/>
  <c r="F184"/>
  <c r="G184"/>
  <c r="H184"/>
  <c r="F185"/>
  <c r="G185"/>
  <c r="H185"/>
  <c r="F186"/>
  <c r="G186"/>
  <c r="H186"/>
  <c r="F187"/>
  <c r="G187"/>
  <c r="H187"/>
  <c r="F188"/>
  <c r="G188"/>
  <c r="H188"/>
  <c r="F189"/>
  <c r="G189"/>
  <c r="H189"/>
  <c r="F190"/>
  <c r="G190"/>
  <c r="H190"/>
  <c r="F191"/>
  <c r="G191"/>
  <c r="H191"/>
  <c r="F192"/>
  <c r="G192"/>
  <c r="H192"/>
  <c r="F193"/>
  <c r="G193"/>
  <c r="H193"/>
  <c r="F194"/>
  <c r="G194"/>
  <c r="H194"/>
  <c r="F195"/>
  <c r="G195"/>
  <c r="H195"/>
  <c r="F196"/>
  <c r="G196"/>
  <c r="H196"/>
  <c r="F197"/>
  <c r="G197"/>
  <c r="H197"/>
  <c r="F198"/>
  <c r="G198"/>
  <c r="H198"/>
  <c r="F199"/>
  <c r="G199"/>
  <c r="H199"/>
  <c r="F200"/>
  <c r="G200"/>
  <c r="H200"/>
  <c r="F201"/>
  <c r="G201"/>
  <c r="H201"/>
  <c r="F202"/>
  <c r="G202"/>
  <c r="H202"/>
  <c r="F203"/>
  <c r="G203"/>
  <c r="H203"/>
  <c r="F204"/>
  <c r="G204"/>
  <c r="H204"/>
  <c r="F205"/>
  <c r="G205"/>
  <c r="H205"/>
  <c r="F206"/>
  <c r="G206"/>
  <c r="H206"/>
  <c r="F207"/>
  <c r="G207"/>
  <c r="H207"/>
  <c r="F208"/>
  <c r="G208"/>
  <c r="H208"/>
  <c r="F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20" i="7"/>
  <c r="B21"/>
  <c r="B22"/>
  <c r="B23"/>
  <c r="B24"/>
  <c r="B25"/>
  <c r="C22" l="1"/>
  <c r="D20"/>
  <c r="E21"/>
  <c r="H20"/>
  <c r="G23"/>
  <c r="C19"/>
  <c r="G20"/>
  <c r="C24"/>
  <c r="G22"/>
  <c r="D19"/>
  <c r="C25"/>
  <c r="F22"/>
  <c r="G19"/>
  <c r="C23"/>
  <c r="H22"/>
  <c r="D24"/>
  <c r="G21"/>
  <c r="F19"/>
  <c r="H19"/>
  <c r="E23"/>
  <c r="F25"/>
  <c r="D25"/>
  <c r="E19"/>
  <c r="F20"/>
  <c r="C21"/>
  <c r="H21"/>
  <c r="E24"/>
  <c r="E20"/>
  <c r="D23"/>
  <c r="F21"/>
  <c r="E25"/>
  <c r="F24"/>
  <c r="G25"/>
  <c r="H24"/>
  <c r="H23"/>
  <c r="D22"/>
  <c r="K2" i="1" l="1"/>
  <c r="K3"/>
  <c r="K5"/>
  <c r="K7"/>
  <c r="K6"/>
  <c r="K8"/>
  <c r="K4"/>
</calcChain>
</file>

<file path=xl/sharedStrings.xml><?xml version="1.0" encoding="utf-8"?>
<sst xmlns="http://schemas.openxmlformats.org/spreadsheetml/2006/main" count="467" uniqueCount="84">
  <si>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</si>
  <si>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</si>
  <si>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</si>
  <si>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</si>
  <si>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</si>
  <si>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</si>
  <si>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</si>
  <si>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</si>
  <si>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</si>
  <si>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</si>
  <si>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</si>
  <si>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</si>
  <si>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</si>
  <si>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</si>
  <si>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</si>
  <si>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</si>
  <si>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</si>
  <si>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</si>
  <si>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</si>
  <si>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</si>
  <si>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</si>
  <si>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</si>
  <si>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</si>
  <si>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</si>
  <si>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第8輪</t>
  </si>
  <si>
    <t>第9輪</t>
  </si>
  <si>
    <t>第10輪</t>
  </si>
  <si>
    <t>第11輪</t>
  </si>
  <si>
    <t>第12輪</t>
  </si>
  <si>
    <t>第13輪</t>
  </si>
  <si>
    <t>第14輪</t>
  </si>
  <si>
    <t>贝</t>
    <phoneticPr fontId="1"/>
  </si>
  <si>
    <t>磊</t>
  </si>
  <si>
    <t>二</t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</si>
  <si>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</si>
  <si>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</si>
  <si>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</si>
  <si>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</si>
  <si>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</si>
  <si>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B</t>
    <phoneticPr fontId="1"/>
  </si>
  <si>
    <t>理分</t>
    <phoneticPr fontId="1"/>
  </si>
  <si>
    <t>七</t>
    <phoneticPr fontId="1"/>
  </si>
  <si>
    <t>国家杯</t>
    <phoneticPr fontId="1"/>
  </si>
  <si>
    <t>七</t>
    <rPh sb="0" eb="1">
      <t>ナナ</t>
    </rPh>
    <phoneticPr fontId="1"/>
  </si>
  <si>
    <t>第15輪</t>
  </si>
  <si>
    <t>第16輪</t>
  </si>
  <si>
    <t>第17輪</t>
  </si>
  <si>
    <t>第18輪</t>
  </si>
  <si>
    <t>第19輪</t>
  </si>
  <si>
    <t>第20輪</t>
  </si>
  <si>
    <t>第21輪</t>
  </si>
  <si>
    <t>第22輪</t>
  </si>
  <si>
    <t>第23輪</t>
  </si>
  <si>
    <t>第24輪</t>
  </si>
  <si>
    <t>第25輪</t>
  </si>
  <si>
    <t>第26輪</t>
  </si>
  <si>
    <t>克罗地亚(宇)</t>
  </si>
  <si>
    <t>西班牙(黑)</t>
  </si>
  <si>
    <t>德国(爷)</t>
  </si>
  <si>
    <t>比利时(二)</t>
  </si>
  <si>
    <t>葡萄牙(黑)</t>
  </si>
  <si>
    <t>荷兰(贝)</t>
  </si>
  <si>
    <t>乌克兰(七)</t>
  </si>
  <si>
    <t>荷兰(贝)</t>
    <phoneticPr fontId="1"/>
  </si>
  <si>
    <t>意大利(贝)</t>
  </si>
  <si>
    <t>英格兰(磊)</t>
  </si>
  <si>
    <t>法国(七)</t>
  </si>
  <si>
    <t>斯洛伐克(磊)</t>
  </si>
  <si>
    <t>威尔士(二)</t>
  </si>
  <si>
    <t>波兰(爷)</t>
  </si>
  <si>
    <t>冰岛(宇)</t>
  </si>
  <si>
    <t>克罗地亚(宇)</t>
    <phoneticPr fontId="1"/>
  </si>
  <si>
    <t>西班牙(黑)</t>
    <phoneticPr fontId="1"/>
  </si>
  <si>
    <t>乌克兰(七)</t>
    <phoneticPr fontId="1"/>
  </si>
  <si>
    <t>德国(爷)</t>
    <phoneticPr fontId="1"/>
  </si>
  <si>
    <t>波兰(爷)</t>
    <phoneticPr fontId="1"/>
  </si>
  <si>
    <t>法国(七)</t>
    <phoneticPr fontId="1"/>
  </si>
  <si>
    <t>葡萄牙(黑)</t>
    <phoneticPr fontId="1"/>
  </si>
  <si>
    <t>威尔士(二)</t>
    <phoneticPr fontId="1"/>
  </si>
  <si>
    <t>冰岛(宇)</t>
    <phoneticPr fontId="1"/>
  </si>
  <si>
    <t>斯洛伐克(磊)</t>
    <phoneticPr fontId="1"/>
  </si>
  <si>
    <t>英格兰(磊)</t>
    <phoneticPr fontId="1"/>
  </si>
  <si>
    <t>比利时(二)</t>
    <phoneticPr fontId="1"/>
  </si>
  <si>
    <t>意大利(贝)</t>
    <phoneticPr fontId="1"/>
  </si>
</sst>
</file>

<file path=xl/styles.xml><?xml version="1.0" encoding="utf-8"?>
<styleSheet xmlns="http://schemas.openxmlformats.org/spreadsheetml/2006/main"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E719AC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2" fillId="2" borderId="3" xfId="0" applyFont="1" applyFill="1" applyBorder="1">
      <alignment vertical="center"/>
    </xf>
    <xf numFmtId="0" fontId="0" fillId="2" borderId="0" xfId="0" applyFill="1">
      <alignment vertical="center"/>
    </xf>
    <xf numFmtId="0" fontId="5" fillId="0" borderId="4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3" borderId="4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5" xfId="0" applyBorder="1">
      <alignment vertical="center"/>
    </xf>
    <xf numFmtId="0" fontId="2" fillId="0" borderId="5" xfId="0" applyFont="1" applyBorder="1">
      <alignment vertical="center"/>
    </xf>
    <xf numFmtId="0" fontId="0" fillId="4" borderId="5" xfId="0" applyFill="1" applyBorder="1">
      <alignment vertical="center"/>
    </xf>
    <xf numFmtId="0" fontId="9" fillId="0" borderId="0" xfId="0" applyFont="1">
      <alignment vertical="center"/>
    </xf>
    <xf numFmtId="0" fontId="2" fillId="5" borderId="0" xfId="0" applyFont="1" applyFill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Fill="1">
      <alignment vertical="center"/>
    </xf>
    <xf numFmtId="0" fontId="2" fillId="0" borderId="5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6" borderId="5" xfId="0" applyFill="1" applyBorder="1">
      <alignment vertical="center"/>
    </xf>
    <xf numFmtId="0" fontId="2" fillId="6" borderId="5" xfId="0" applyFont="1" applyFill="1" applyBorder="1">
      <alignment vertical="center"/>
    </xf>
    <xf numFmtId="0" fontId="0" fillId="6" borderId="5" xfId="0" applyFont="1" applyFill="1" applyBorder="1">
      <alignment vertical="center"/>
    </xf>
    <xf numFmtId="0" fontId="0" fillId="6" borderId="0" xfId="0" applyFill="1">
      <alignment vertical="center"/>
    </xf>
    <xf numFmtId="0" fontId="12" fillId="6" borderId="0" xfId="0" applyFont="1" applyFill="1" applyAlignment="1">
      <alignment vertical="center"/>
    </xf>
    <xf numFmtId="0" fontId="0" fillId="0" borderId="1" xfId="0" applyFill="1" applyBorder="1" applyAlignment="1">
      <alignment horizontal="left" vertical="center"/>
    </xf>
    <xf numFmtId="0" fontId="0" fillId="7" borderId="0" xfId="0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E719AC"/>
      <color rgb="FF1FAEE1"/>
      <color rgb="FF00FF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27"/>
  <sheetViews>
    <sheetView workbookViewId="0">
      <selection activeCell="B15" sqref="B2:B15"/>
    </sheetView>
  </sheetViews>
  <sheetFormatPr defaultRowHeight="13.5" outlineLevelRow="1"/>
  <cols>
    <col min="1" max="1" width="10.375" customWidth="1"/>
    <col min="2" max="2" width="12.375" bestFit="1" customWidth="1"/>
    <col min="3" max="8" width="9.875" customWidth="1"/>
  </cols>
  <sheetData>
    <row r="1" spans="1:3">
      <c r="B1" s="23" t="s">
        <v>42</v>
      </c>
    </row>
    <row r="2" spans="1:3">
      <c r="A2" s="10" t="s">
        <v>31</v>
      </c>
      <c r="B2" s="11" t="s">
        <v>64</v>
      </c>
    </row>
    <row r="3" spans="1:3">
      <c r="A3" s="12" t="s">
        <v>32</v>
      </c>
      <c r="B3" s="11" t="s">
        <v>65</v>
      </c>
    </row>
    <row r="4" spans="1:3">
      <c r="A4" s="11" t="s">
        <v>33</v>
      </c>
      <c r="B4" s="11" t="s">
        <v>59</v>
      </c>
    </row>
    <row r="5" spans="1:3">
      <c r="A5" s="19" t="s">
        <v>41</v>
      </c>
      <c r="B5" s="11" t="s">
        <v>66</v>
      </c>
    </row>
    <row r="6" spans="1:3">
      <c r="A6" s="12" t="s">
        <v>34</v>
      </c>
      <c r="B6" s="11" t="s">
        <v>58</v>
      </c>
    </row>
    <row r="7" spans="1:3">
      <c r="A7" s="10" t="s">
        <v>35</v>
      </c>
      <c r="B7" s="12" t="s">
        <v>57</v>
      </c>
    </row>
    <row r="8" spans="1:3">
      <c r="A8" s="10" t="s">
        <v>36</v>
      </c>
      <c r="B8" s="12" t="s">
        <v>56</v>
      </c>
    </row>
    <row r="9" spans="1:3">
      <c r="A9" s="10" t="s">
        <v>31</v>
      </c>
      <c r="B9" s="11" t="s">
        <v>61</v>
      </c>
    </row>
    <row r="10" spans="1:3">
      <c r="A10" s="12" t="s">
        <v>32</v>
      </c>
      <c r="B10" s="11" t="s">
        <v>67</v>
      </c>
    </row>
    <row r="11" spans="1:3">
      <c r="A11" s="11" t="s">
        <v>33</v>
      </c>
      <c r="B11" s="11" t="s">
        <v>68</v>
      </c>
    </row>
    <row r="12" spans="1:3">
      <c r="A12" s="19" t="s">
        <v>43</v>
      </c>
      <c r="B12" s="11" t="s">
        <v>62</v>
      </c>
      <c r="C12" s="1"/>
    </row>
    <row r="13" spans="1:3">
      <c r="A13" s="12" t="s">
        <v>34</v>
      </c>
      <c r="B13" s="11" t="s">
        <v>69</v>
      </c>
      <c r="C13" s="1"/>
    </row>
    <row r="14" spans="1:3">
      <c r="A14" s="10" t="s">
        <v>35</v>
      </c>
      <c r="B14" s="12" t="s">
        <v>60</v>
      </c>
      <c r="C14" s="1"/>
    </row>
    <row r="15" spans="1:3">
      <c r="A15" s="10" t="s">
        <v>36</v>
      </c>
      <c r="B15" s="12" t="s">
        <v>70</v>
      </c>
      <c r="C15" s="1"/>
    </row>
    <row r="18" spans="1:8" outlineLevel="1">
      <c r="A18" s="29" t="s">
        <v>42</v>
      </c>
      <c r="B18" s="23" t="s">
        <v>37</v>
      </c>
      <c r="C18" s="23" t="s">
        <v>32</v>
      </c>
      <c r="D18" s="23" t="s">
        <v>38</v>
      </c>
      <c r="E18" s="24" t="s">
        <v>41</v>
      </c>
      <c r="F18" s="23" t="s">
        <v>34</v>
      </c>
      <c r="G18" s="23" t="s">
        <v>35</v>
      </c>
      <c r="H18" s="23" t="s">
        <v>36</v>
      </c>
    </row>
    <row r="19" spans="1:8" outlineLevel="1">
      <c r="A19" s="25" t="s">
        <v>31</v>
      </c>
      <c r="B19" s="13"/>
      <c r="C19" s="11">
        <f ca="1">COUNTIF(INDIRECT($A$18&amp;"!$H:$H"),$A19&amp;C$18)+COUNTIF(INDIRECT($A$18&amp;"!$H:$H"),C$18&amp;$A19)</f>
        <v>8</v>
      </c>
      <c r="D19" s="11">
        <f t="shared" ref="D19:H23" ca="1" si="0">COUNTIF(INDIRECT($A$18&amp;"!$H:$H"),$A19&amp;D$18)+COUNTIF(INDIRECT($A$18&amp;"!$H:$H"),D$18&amp;$A19)</f>
        <v>8</v>
      </c>
      <c r="E19" s="11">
        <f t="shared" ca="1" si="0"/>
        <v>8</v>
      </c>
      <c r="F19" s="11">
        <f t="shared" ca="1" si="0"/>
        <v>8</v>
      </c>
      <c r="G19" s="11">
        <f t="shared" ca="1" si="0"/>
        <v>8</v>
      </c>
      <c r="H19" s="11">
        <f t="shared" ca="1" si="0"/>
        <v>8</v>
      </c>
    </row>
    <row r="20" spans="1:8" outlineLevel="1">
      <c r="A20" s="24" t="s">
        <v>32</v>
      </c>
      <c r="B20" s="11">
        <f ca="1">COUNTIF(INDIRECT($A$18&amp;"!$H:$H"),$A20&amp;B$18)+COUNTIF(INDIRECT($A$18&amp;"!$H:$H"),B$18&amp;$A20)</f>
        <v>8</v>
      </c>
      <c r="C20" s="13"/>
      <c r="D20" s="11">
        <f t="shared" ca="1" si="0"/>
        <v>8</v>
      </c>
      <c r="E20" s="11">
        <f t="shared" ca="1" si="0"/>
        <v>8</v>
      </c>
      <c r="F20" s="11">
        <f t="shared" ca="1" si="0"/>
        <v>8</v>
      </c>
      <c r="G20" s="11">
        <f t="shared" ca="1" si="0"/>
        <v>8</v>
      </c>
      <c r="H20" s="11">
        <f t="shared" ca="1" si="0"/>
        <v>8</v>
      </c>
    </row>
    <row r="21" spans="1:8" outlineLevel="1">
      <c r="A21" s="23" t="s">
        <v>33</v>
      </c>
      <c r="B21" s="11">
        <f t="shared" ref="B21:E25" ca="1" si="1">COUNTIF(INDIRECT($A$18&amp;"!$H:$H"),$A21&amp;B$18)+COUNTIF(INDIRECT($A$18&amp;"!$H:$H"),B$18&amp;$A21)</f>
        <v>8</v>
      </c>
      <c r="C21" s="11">
        <f ca="1">COUNTIF(INDIRECT($A$18&amp;"!$H:$H"),$A21&amp;C$18)+COUNTIF(INDIRECT($A$18&amp;"!$H:$H"),C$18&amp;$A21)</f>
        <v>8</v>
      </c>
      <c r="D21" s="13"/>
      <c r="E21" s="11">
        <f t="shared" ca="1" si="0"/>
        <v>8</v>
      </c>
      <c r="F21" s="11">
        <f t="shared" ca="1" si="0"/>
        <v>8</v>
      </c>
      <c r="G21" s="11">
        <f t="shared" ca="1" si="0"/>
        <v>8</v>
      </c>
      <c r="H21" s="11">
        <f t="shared" ca="1" si="0"/>
        <v>8</v>
      </c>
    </row>
    <row r="22" spans="1:8" outlineLevel="1">
      <c r="A22" s="24" t="s">
        <v>41</v>
      </c>
      <c r="B22" s="11">
        <f t="shared" ca="1" si="1"/>
        <v>8</v>
      </c>
      <c r="C22" s="11">
        <f t="shared" ca="1" si="1"/>
        <v>8</v>
      </c>
      <c r="D22" s="11">
        <f t="shared" ca="1" si="1"/>
        <v>8</v>
      </c>
      <c r="E22" s="13"/>
      <c r="F22" s="11">
        <f t="shared" ca="1" si="0"/>
        <v>8</v>
      </c>
      <c r="G22" s="11">
        <f t="shared" ca="1" si="0"/>
        <v>8</v>
      </c>
      <c r="H22" s="11">
        <f t="shared" ca="1" si="0"/>
        <v>8</v>
      </c>
    </row>
    <row r="23" spans="1:8" outlineLevel="1">
      <c r="A23" s="24" t="s">
        <v>34</v>
      </c>
      <c r="B23" s="11">
        <f t="shared" ca="1" si="1"/>
        <v>8</v>
      </c>
      <c r="C23" s="11">
        <f t="shared" ca="1" si="1"/>
        <v>8</v>
      </c>
      <c r="D23" s="11">
        <f t="shared" ca="1" si="1"/>
        <v>8</v>
      </c>
      <c r="E23" s="11">
        <f t="shared" ca="1" si="1"/>
        <v>8</v>
      </c>
      <c r="F23" s="13"/>
      <c r="G23" s="11">
        <f t="shared" ca="1" si="0"/>
        <v>8</v>
      </c>
      <c r="H23" s="11">
        <f t="shared" ca="1" si="0"/>
        <v>8</v>
      </c>
    </row>
    <row r="24" spans="1:8" outlineLevel="1">
      <c r="A24" s="25" t="s">
        <v>35</v>
      </c>
      <c r="B24" s="11">
        <f t="shared" ca="1" si="1"/>
        <v>8</v>
      </c>
      <c r="C24" s="11">
        <f t="shared" ca="1" si="1"/>
        <v>8</v>
      </c>
      <c r="D24" s="11">
        <f t="shared" ca="1" si="1"/>
        <v>8</v>
      </c>
      <c r="E24" s="11">
        <f t="shared" ca="1" si="1"/>
        <v>8</v>
      </c>
      <c r="F24" s="11">
        <f ca="1">COUNTIF(INDIRECT($A$18&amp;"!$H:$H"),$A24&amp;F$18)+COUNTIF(INDIRECT($A$18&amp;"!$H:$H"),F$18&amp;$A24)</f>
        <v>8</v>
      </c>
      <c r="G24" s="13"/>
      <c r="H24" s="11">
        <f ca="1">COUNTIF(INDIRECT($A$18&amp;"!$H:$H"),$A24&amp;H$18)+COUNTIF(INDIRECT($A$18&amp;"!$H:$H"),H$18&amp;$A24)</f>
        <v>8</v>
      </c>
    </row>
    <row r="25" spans="1:8" outlineLevel="1">
      <c r="A25" s="25" t="s">
        <v>36</v>
      </c>
      <c r="B25" s="11">
        <f t="shared" ca="1" si="1"/>
        <v>8</v>
      </c>
      <c r="C25" s="11">
        <f t="shared" ca="1" si="1"/>
        <v>8</v>
      </c>
      <c r="D25" s="11">
        <f t="shared" ca="1" si="1"/>
        <v>8</v>
      </c>
      <c r="E25" s="11">
        <f t="shared" ca="1" si="1"/>
        <v>8</v>
      </c>
      <c r="F25" s="11">
        <f t="shared" ref="F25:G25" ca="1" si="2">COUNTIF(INDIRECT($A$18&amp;"!$H:$H"),$A25&amp;F$18)+COUNTIF(INDIRECT($A$18&amp;"!$H:$H"),F$18&amp;$A25)</f>
        <v>8</v>
      </c>
      <c r="G25" s="11">
        <f t="shared" ca="1" si="2"/>
        <v>8</v>
      </c>
      <c r="H25" s="13"/>
    </row>
    <row r="26" spans="1:8" outlineLevel="1"/>
    <row r="27" spans="1:8" outlineLevel="1"/>
  </sheetData>
  <phoneticPr fontId="1"/>
  <conditionalFormatting sqref="B19:H25">
    <cfRule type="colorScale" priority="1">
      <colorScale>
        <cfvo type="min" val="0"/>
        <cfvo type="max" val="0"/>
        <color theme="9" tint="0.79998168889431442"/>
        <color rgb="FF7030A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tabSelected="1" workbookViewId="0">
      <selection activeCell="J20" sqref="J20"/>
    </sheetView>
  </sheetViews>
  <sheetFormatPr defaultRowHeight="13.5"/>
  <cols>
    <col min="1" max="1" width="7.125" bestFit="1" customWidth="1"/>
    <col min="2" max="2" width="12.375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8" customWidth="1"/>
    <col min="12" max="12" width="4.625" customWidth="1"/>
    <col min="13" max="13" width="7.125" bestFit="1" customWidth="1"/>
  </cols>
  <sheetData>
    <row r="1" spans="1:13">
      <c r="A1" s="20" t="s">
        <v>1</v>
      </c>
      <c r="B1" s="21" t="s">
        <v>0</v>
      </c>
      <c r="C1" s="21" t="s">
        <v>23</v>
      </c>
      <c r="D1" s="22" t="s">
        <v>16</v>
      </c>
      <c r="E1" s="21" t="s">
        <v>17</v>
      </c>
      <c r="F1" s="21" t="s">
        <v>18</v>
      </c>
      <c r="G1" s="21" t="s">
        <v>21</v>
      </c>
      <c r="H1" s="21" t="s">
        <v>19</v>
      </c>
      <c r="I1" s="21" t="s">
        <v>20</v>
      </c>
      <c r="J1" s="21" t="s">
        <v>22</v>
      </c>
      <c r="K1" s="9">
        <v>1</v>
      </c>
      <c r="L1" s="6" t="s">
        <v>40</v>
      </c>
      <c r="M1" s="7"/>
    </row>
    <row r="2" spans="1:13" ht="15" customHeight="1">
      <c r="A2" s="30">
        <v>1</v>
      </c>
      <c r="B2" s="31" t="s">
        <v>71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3">
        <v>0</v>
      </c>
      <c r="K2" s="8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7">
        <f>((COUNTA(A$2:A$15)-1)*2-C2-2)*3+J2</f>
        <v>72</v>
      </c>
      <c r="M2" s="7"/>
    </row>
    <row r="3" spans="1:13">
      <c r="A3" s="34">
        <v>2</v>
      </c>
      <c r="B3" s="2" t="s">
        <v>72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5">
        <v>0</v>
      </c>
      <c r="K3" s="8" t="str">
        <f t="shared" si="0"/>
        <v/>
      </c>
      <c r="L3" s="7">
        <f t="shared" ref="L3:L15" si="1">((COUNTA(A$2:A$15)-1)*2-C3-2)*3+J3</f>
        <v>72</v>
      </c>
      <c r="M3" s="7"/>
    </row>
    <row r="4" spans="1:13">
      <c r="A4" s="34">
        <v>3</v>
      </c>
      <c r="B4" s="2" t="s">
        <v>73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5">
        <v>0</v>
      </c>
      <c r="K4" s="8" t="str">
        <f t="shared" si="0"/>
        <v/>
      </c>
      <c r="L4" s="7">
        <f t="shared" si="1"/>
        <v>72</v>
      </c>
      <c r="M4" s="7"/>
    </row>
    <row r="5" spans="1:13">
      <c r="A5" s="34">
        <v>4</v>
      </c>
      <c r="B5" s="2" t="s">
        <v>74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5">
        <v>0</v>
      </c>
      <c r="K5" s="8" t="str">
        <f t="shared" si="0"/>
        <v/>
      </c>
      <c r="L5" s="7">
        <f t="shared" si="1"/>
        <v>72</v>
      </c>
      <c r="M5" s="7"/>
    </row>
    <row r="6" spans="1:13">
      <c r="A6" s="34">
        <v>5</v>
      </c>
      <c r="B6" s="2" t="s">
        <v>75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5">
        <v>0</v>
      </c>
      <c r="K6" s="8" t="str">
        <f t="shared" si="0"/>
        <v/>
      </c>
      <c r="L6" s="7">
        <f t="shared" si="1"/>
        <v>72</v>
      </c>
      <c r="M6" s="7"/>
    </row>
    <row r="7" spans="1:13">
      <c r="A7" s="34">
        <v>6</v>
      </c>
      <c r="B7" s="2" t="s">
        <v>76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5">
        <v>0</v>
      </c>
      <c r="K7" s="8" t="str">
        <f t="shared" si="0"/>
        <v/>
      </c>
      <c r="L7" s="7">
        <f t="shared" si="1"/>
        <v>72</v>
      </c>
      <c r="M7" s="7"/>
    </row>
    <row r="8" spans="1:13">
      <c r="A8" s="34">
        <v>7</v>
      </c>
      <c r="B8" s="2" t="s">
        <v>77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5">
        <v>0</v>
      </c>
      <c r="K8" s="8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7">
        <f t="shared" si="1"/>
        <v>72</v>
      </c>
      <c r="M8" s="7"/>
    </row>
    <row r="9" spans="1:13">
      <c r="A9" s="34">
        <v>8</v>
      </c>
      <c r="B9" s="2" t="s">
        <v>78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5">
        <v>0</v>
      </c>
      <c r="L9" s="7">
        <f t="shared" si="1"/>
        <v>72</v>
      </c>
    </row>
    <row r="10" spans="1:13">
      <c r="A10" s="34">
        <v>9</v>
      </c>
      <c r="B10" s="2" t="s">
        <v>79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5">
        <v>0</v>
      </c>
      <c r="L10" s="7">
        <f t="shared" si="1"/>
        <v>72</v>
      </c>
    </row>
    <row r="11" spans="1:13">
      <c r="A11" s="34">
        <v>10</v>
      </c>
      <c r="B11" s="2" t="s">
        <v>80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5">
        <v>0</v>
      </c>
      <c r="L11" s="7">
        <f t="shared" si="1"/>
        <v>72</v>
      </c>
    </row>
    <row r="12" spans="1:13">
      <c r="A12" s="34">
        <v>11</v>
      </c>
      <c r="B12" s="2" t="s">
        <v>81</v>
      </c>
      <c r="C12" s="28">
        <v>0</v>
      </c>
      <c r="D12" s="3">
        <v>0</v>
      </c>
      <c r="E12" s="28">
        <v>0</v>
      </c>
      <c r="F12" s="3">
        <v>0</v>
      </c>
      <c r="G12" s="28">
        <v>0</v>
      </c>
      <c r="H12" s="3">
        <v>0</v>
      </c>
      <c r="I12" s="28">
        <v>0</v>
      </c>
      <c r="J12" s="35">
        <v>0</v>
      </c>
      <c r="L12" s="7">
        <f t="shared" si="1"/>
        <v>72</v>
      </c>
    </row>
    <row r="13" spans="1:13">
      <c r="A13" s="34">
        <v>12</v>
      </c>
      <c r="B13" s="2" t="s">
        <v>63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5">
        <v>0</v>
      </c>
      <c r="L13" s="7">
        <f t="shared" si="1"/>
        <v>72</v>
      </c>
    </row>
    <row r="14" spans="1:13">
      <c r="A14" s="34">
        <v>13</v>
      </c>
      <c r="B14" s="2" t="s">
        <v>82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5">
        <v>0</v>
      </c>
      <c r="L14" s="7">
        <f t="shared" si="1"/>
        <v>72</v>
      </c>
    </row>
    <row r="15" spans="1:13">
      <c r="A15" s="36">
        <v>14</v>
      </c>
      <c r="B15" s="37" t="s">
        <v>83</v>
      </c>
      <c r="C15" s="38">
        <v>0</v>
      </c>
      <c r="D15" s="38">
        <v>0</v>
      </c>
      <c r="E15" s="38">
        <v>0</v>
      </c>
      <c r="F15" s="38">
        <v>0</v>
      </c>
      <c r="G15" s="38">
        <v>0</v>
      </c>
      <c r="H15" s="38">
        <v>0</v>
      </c>
      <c r="I15" s="38">
        <v>0</v>
      </c>
      <c r="J15" s="39">
        <v>0</v>
      </c>
      <c r="L15" s="7">
        <f t="shared" si="1"/>
        <v>72</v>
      </c>
    </row>
    <row r="20" spans="1:3">
      <c r="A20" s="4" t="s">
        <v>3</v>
      </c>
      <c r="B20">
        <v>0</v>
      </c>
      <c r="C20" s="1" t="s">
        <v>6</v>
      </c>
    </row>
    <row r="21" spans="1:3">
      <c r="A21" s="5" t="s">
        <v>4</v>
      </c>
      <c r="B21">
        <v>14</v>
      </c>
      <c r="C21" t="s">
        <v>7</v>
      </c>
    </row>
    <row r="22" spans="1:3">
      <c r="A22" s="5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H208"/>
  <sheetViews>
    <sheetView workbookViewId="0">
      <selection activeCell="C5" sqref="C5:D10"/>
    </sheetView>
  </sheetViews>
  <sheetFormatPr defaultRowHeight="13.5"/>
  <cols>
    <col min="1" max="2" width="15.125" bestFit="1" customWidth="1"/>
    <col min="3" max="4" width="2.5" style="17" bestFit="1" customWidth="1"/>
    <col min="6" max="6" width="3.625" style="14" customWidth="1"/>
    <col min="7" max="7" width="3.375" style="14" bestFit="1" customWidth="1"/>
    <col min="8" max="8" width="5.25" style="14" bestFit="1" customWidth="1"/>
  </cols>
  <sheetData>
    <row r="1" spans="1:8">
      <c r="A1" s="26" t="s">
        <v>9</v>
      </c>
      <c r="C1" s="27" t="s">
        <v>2</v>
      </c>
      <c r="D1" s="27"/>
      <c r="E1" s="15" t="s">
        <v>39</v>
      </c>
      <c r="F1" s="14" t="str">
        <f ca="1">IF(OR(OR($A1="",$B1=""),AND($C1&lt;&gt;"",$D1&lt;&gt;"")),"",VLOOKUP(A1,IF({1,0},INDIRECT("达修波得!$"&amp;$E$1&amp;"$2:$"&amp;$E$1&amp;"$8"),达修波得!$A$2:$A$8),2,FALSE))</f>
        <v/>
      </c>
      <c r="G1" s="14" t="str">
        <f ca="1">IF(OR(OR($A1="",$B1=""),AND($C1&lt;&gt;"",$D1&lt;&gt;"")),"",VLOOKUP(B1,IF({1,0},INDIRECT("达修波得!$"&amp;$E$1&amp;"$2:$"&amp;$E$1&amp;"$8"),达修波得!$A$2:$A$8),2,FALSE))</f>
        <v/>
      </c>
      <c r="H1" s="14" t="str">
        <f ca="1">F1&amp;G1</f>
        <v/>
      </c>
    </row>
    <row r="2" spans="1:8">
      <c r="A2" s="18" t="s">
        <v>56</v>
      </c>
      <c r="B2" s="18" t="s">
        <v>57</v>
      </c>
      <c r="F2" s="14" t="str">
        <f ca="1">IF(OR(OR($A2="",$B2=""),AND($C2&lt;&gt;"",$D2&lt;&gt;"")),"",VLOOKUP(A2,IF({1,0},INDIRECT("达修波得!$"&amp;$E$1&amp;"$2:$"&amp;$E$1&amp;"$15"),达修波得!$A$2:$A$15),2,FALSE))</f>
        <v>宇</v>
      </c>
      <c r="G2" s="14" t="str">
        <f ca="1">IF(OR(OR($A2="",$B2=""),AND($C2&lt;&gt;"",$D2&lt;&gt;"")),"",VLOOKUP(B2,IF({1,0},INDIRECT("达修波得!$"&amp;$E$1&amp;"$2:$"&amp;$E$1&amp;"$15"),达修波得!$A$2:$A$15),2,FALSE))</f>
        <v>黑</v>
      </c>
      <c r="H2" s="14" t="str">
        <f ca="1">F2&amp;G2</f>
        <v>宇黑</v>
      </c>
    </row>
    <row r="3" spans="1:8">
      <c r="A3" s="18" t="s">
        <v>62</v>
      </c>
      <c r="B3" s="18" t="s">
        <v>58</v>
      </c>
      <c r="F3" s="14" t="str">
        <f ca="1">IF(OR(OR($A3="",$B3=""),AND($C3&lt;&gt;"",$D3&lt;&gt;"")),"",VLOOKUP(A3,IF({1,0},INDIRECT("达修波得!$"&amp;$E$1&amp;"$2:$"&amp;$E$1&amp;"$15"),达修波得!$A$2:$A$15),2,FALSE))</f>
        <v>七</v>
      </c>
      <c r="G3" s="14" t="str">
        <f ca="1">IF(OR(OR($A3="",$B3=""),AND($C3&lt;&gt;"",$D3&lt;&gt;"")),"",VLOOKUP(B3,IF({1,0},INDIRECT("达修波得!$"&amp;$E$1&amp;"$2:$"&amp;$E$1&amp;"$15"),达修波得!$A$2:$A$15),2,FALSE))</f>
        <v>爷</v>
      </c>
      <c r="H3" s="14" t="str">
        <f t="shared" ref="H3:H66" ca="1" si="0">F3&amp;G3</f>
        <v>七爷</v>
      </c>
    </row>
    <row r="4" spans="1:8">
      <c r="A4" s="18" t="s">
        <v>69</v>
      </c>
      <c r="B4" s="18" t="s">
        <v>66</v>
      </c>
      <c r="F4" s="14" t="str">
        <f ca="1">IF(OR(OR($A4="",$B4=""),AND($C4&lt;&gt;"",$D4&lt;&gt;"")),"",VLOOKUP(A4,IF({1,0},INDIRECT("达修波得!$"&amp;$E$1&amp;"$2:$"&amp;$E$1&amp;"$15"),达修波得!$A$2:$A$15),2,FALSE))</f>
        <v>爷</v>
      </c>
      <c r="G4" s="14" t="str">
        <f ca="1">IF(OR(OR($A4="",$B4=""),AND($C4&lt;&gt;"",$D4&lt;&gt;"")),"",VLOOKUP(B4,IF({1,0},INDIRECT("达修波得!$"&amp;$E$1&amp;"$2:$"&amp;$E$1&amp;"$15"),达修波得!$A$2:$A$15),2,FALSE))</f>
        <v>七</v>
      </c>
      <c r="H4" s="14" t="str">
        <f t="shared" ca="1" si="0"/>
        <v>爷七</v>
      </c>
    </row>
    <row r="5" spans="1:8">
      <c r="A5" s="18" t="s">
        <v>60</v>
      </c>
      <c r="B5" s="18" t="s">
        <v>68</v>
      </c>
      <c r="F5" s="14" t="str">
        <f ca="1">IF(OR(OR($A5="",$B5=""),AND($C5&lt;&gt;"",$D5&lt;&gt;"")),"",VLOOKUP(A5,IF({1,0},INDIRECT("达修波得!$"&amp;$E$1&amp;"$2:$"&amp;$E$1&amp;"$15"),达修波得!$A$2:$A$15),2,FALSE))</f>
        <v>黑</v>
      </c>
      <c r="G5" s="14" t="str">
        <f ca="1">IF(OR(OR($A5="",$B5=""),AND($C5&lt;&gt;"",$D5&lt;&gt;"")),"",VLOOKUP(B5,IF({1,0},INDIRECT("达修波得!$"&amp;$E$1&amp;"$2:$"&amp;$E$1&amp;"$15"),达修波得!$A$2:$A$15),2,FALSE))</f>
        <v>二</v>
      </c>
      <c r="H5" s="14" t="str">
        <f t="shared" ca="1" si="0"/>
        <v>黑二</v>
      </c>
    </row>
    <row r="6" spans="1:8">
      <c r="A6" s="18" t="s">
        <v>70</v>
      </c>
      <c r="B6" s="18" t="s">
        <v>67</v>
      </c>
      <c r="F6" s="14" t="str">
        <f ca="1">IF(OR(OR($A6="",$B6=""),AND($C6&lt;&gt;"",$D6&lt;&gt;"")),"",VLOOKUP(A6,IF({1,0},INDIRECT("达修波得!$"&amp;$E$1&amp;"$2:$"&amp;$E$1&amp;"$15"),达修波得!$A$2:$A$15),2,FALSE))</f>
        <v>宇</v>
      </c>
      <c r="G6" s="14" t="str">
        <f ca="1">IF(OR(OR($A6="",$B6=""),AND($C6&lt;&gt;"",$D6&lt;&gt;"")),"",VLOOKUP(B6,IF({1,0},INDIRECT("达修波得!$"&amp;$E$1&amp;"$2:$"&amp;$E$1&amp;"$15"),达修波得!$A$2:$A$15),2,FALSE))</f>
        <v>磊</v>
      </c>
      <c r="H6" s="14" t="str">
        <f t="shared" ca="1" si="0"/>
        <v>宇磊</v>
      </c>
    </row>
    <row r="7" spans="1:8">
      <c r="A7" s="18" t="s">
        <v>65</v>
      </c>
      <c r="B7" s="18" t="s">
        <v>61</v>
      </c>
      <c r="F7" s="14" t="str">
        <f ca="1">IF(OR(OR($A7="",$B7=""),AND($C7&lt;&gt;"",$D7&lt;&gt;"")),"",VLOOKUP(A7,IF({1,0},INDIRECT("达修波得!$"&amp;$E$1&amp;"$2:$"&amp;$E$1&amp;"$15"),达修波得!$A$2:$A$15),2,FALSE))</f>
        <v>磊</v>
      </c>
      <c r="G7" s="14" t="str">
        <f ca="1">IF(OR(OR($A7="",$B7=""),AND($C7&lt;&gt;"",$D7&lt;&gt;"")),"",VLOOKUP(B7,IF({1,0},INDIRECT("达修波得!$"&amp;$E$1&amp;"$2:$"&amp;$E$1&amp;"$15"),达修波得!$A$2:$A$15),2,FALSE))</f>
        <v>贝</v>
      </c>
      <c r="H7" s="14" t="str">
        <f t="shared" ca="1" si="0"/>
        <v>磊贝</v>
      </c>
    </row>
    <row r="8" spans="1:8">
      <c r="A8" s="18" t="s">
        <v>59</v>
      </c>
      <c r="B8" s="18" t="s">
        <v>64</v>
      </c>
      <c r="F8" s="14" t="str">
        <f ca="1">IF(OR(OR($A8="",$B8=""),AND($C8&lt;&gt;"",$D8&lt;&gt;"")),"",VLOOKUP(A8,IF({1,0},INDIRECT("达修波得!$"&amp;$E$1&amp;"$2:$"&amp;$E$1&amp;"$15"),达修波得!$A$2:$A$15),2,FALSE))</f>
        <v>二</v>
      </c>
      <c r="G8" s="14" t="str">
        <f ca="1">IF(OR(OR($A8="",$B8=""),AND($C8&lt;&gt;"",$D8&lt;&gt;"")),"",VLOOKUP(B8,IF({1,0},INDIRECT("达修波得!$"&amp;$E$1&amp;"$2:$"&amp;$E$1&amp;"$15"),达修波得!$A$2:$A$15),2,FALSE))</f>
        <v>贝</v>
      </c>
      <c r="H8" s="14" t="str">
        <f t="shared" ca="1" si="0"/>
        <v>二贝</v>
      </c>
    </row>
    <row r="9" spans="1:8">
      <c r="A9" s="26" t="s">
        <v>10</v>
      </c>
      <c r="F9" s="14" t="str">
        <f ca="1">IF(OR(OR($A9="",$B9=""),AND($C9&lt;&gt;"",$D9&lt;&gt;"")),"",VLOOKUP(A9,IF({1,0},INDIRECT("达修波得!$"&amp;$E$1&amp;"$2:$"&amp;$E$1&amp;"$15"),达修波得!$A$2:$A$15),2,FALSE))</f>
        <v/>
      </c>
      <c r="G9" s="14" t="str">
        <f ca="1">IF(OR(OR($A9="",$B9=""),AND($C9&lt;&gt;"",$D9&lt;&gt;"")),"",VLOOKUP(B9,IF({1,0},INDIRECT("达修波得!$"&amp;$E$1&amp;"$2:$"&amp;$E$1&amp;"$15"),达修波得!$A$2:$A$15),2,FALSE))</f>
        <v/>
      </c>
      <c r="H9" s="14" t="str">
        <f t="shared" ca="1" si="0"/>
        <v/>
      </c>
    </row>
    <row r="10" spans="1:8">
      <c r="A10" s="18" t="s">
        <v>56</v>
      </c>
      <c r="B10" s="18" t="s">
        <v>58</v>
      </c>
      <c r="F10" s="14" t="str">
        <f ca="1">IF(OR(OR($A10="",$B10=""),AND($C10&lt;&gt;"",$D10&lt;&gt;"")),"",VLOOKUP(A10,IF({1,0},INDIRECT("达修波得!$"&amp;$E$1&amp;"$2:$"&amp;$E$1&amp;"$15"),达修波得!$A$2:$A$15),2,FALSE))</f>
        <v>宇</v>
      </c>
      <c r="G10" s="14" t="str">
        <f ca="1">IF(OR(OR($A10="",$B10=""),AND($C10&lt;&gt;"",$D10&lt;&gt;"")),"",VLOOKUP(B10,IF({1,0},INDIRECT("达修波得!$"&amp;$E$1&amp;"$2:$"&amp;$E$1&amp;"$15"),达修波得!$A$2:$A$15),2,FALSE))</f>
        <v>爷</v>
      </c>
      <c r="H10" s="14" t="str">
        <f t="shared" ca="1" si="0"/>
        <v>宇爷</v>
      </c>
    </row>
    <row r="11" spans="1:8">
      <c r="A11" s="18" t="s">
        <v>57</v>
      </c>
      <c r="B11" s="18" t="s">
        <v>66</v>
      </c>
      <c r="F11" s="14" t="str">
        <f ca="1">IF(OR(OR($A11="",$B11=""),AND($C11&lt;&gt;"",$D11&lt;&gt;"")),"",VLOOKUP(A11,IF({1,0},INDIRECT("达修波得!$"&amp;$E$1&amp;"$2:$"&amp;$E$1&amp;"$15"),达修波得!$A$2:$A$15),2,FALSE))</f>
        <v>黑</v>
      </c>
      <c r="G11" s="14" t="str">
        <f ca="1">IF(OR(OR($A11="",$B11=""),AND($C11&lt;&gt;"",$D11&lt;&gt;"")),"",VLOOKUP(B11,IF({1,0},INDIRECT("达修波得!$"&amp;$E$1&amp;"$2:$"&amp;$E$1&amp;"$15"),达修波得!$A$2:$A$15),2,FALSE))</f>
        <v>七</v>
      </c>
      <c r="H11" s="14" t="str">
        <f t="shared" ca="1" si="0"/>
        <v>黑七</v>
      </c>
    </row>
    <row r="12" spans="1:8">
      <c r="A12" s="18" t="s">
        <v>62</v>
      </c>
      <c r="B12" s="18" t="s">
        <v>68</v>
      </c>
      <c r="F12" s="14" t="str">
        <f ca="1">IF(OR(OR($A12="",$B12=""),AND($C12&lt;&gt;"",$D12&lt;&gt;"")),"",VLOOKUP(A12,IF({1,0},INDIRECT("达修波得!$"&amp;$E$1&amp;"$2:$"&amp;$E$1&amp;"$15"),达修波得!$A$2:$A$15),2,FALSE))</f>
        <v>七</v>
      </c>
      <c r="G12" s="14" t="str">
        <f ca="1">IF(OR(OR($A12="",$B12=""),AND($C12&lt;&gt;"",$D12&lt;&gt;"")),"",VLOOKUP(B12,IF({1,0},INDIRECT("达修波得!$"&amp;$E$1&amp;"$2:$"&amp;$E$1&amp;"$15"),达修波得!$A$2:$A$15),2,FALSE))</f>
        <v>二</v>
      </c>
      <c r="H12" s="14" t="str">
        <f t="shared" ca="1" si="0"/>
        <v>七二</v>
      </c>
    </row>
    <row r="13" spans="1:8">
      <c r="A13" s="18" t="s">
        <v>69</v>
      </c>
      <c r="B13" s="18" t="s">
        <v>67</v>
      </c>
      <c r="F13" s="14" t="str">
        <f ca="1">IF(OR(OR($A13="",$B13=""),AND($C13&lt;&gt;"",$D13&lt;&gt;"")),"",VLOOKUP(A13,IF({1,0},INDIRECT("达修波得!$"&amp;$E$1&amp;"$2:$"&amp;$E$1&amp;"$15"),达修波得!$A$2:$A$15),2,FALSE))</f>
        <v>爷</v>
      </c>
      <c r="G13" s="14" t="str">
        <f ca="1">IF(OR(OR($A13="",$B13=""),AND($C13&lt;&gt;"",$D13&lt;&gt;"")),"",VLOOKUP(B13,IF({1,0},INDIRECT("达修波得!$"&amp;$E$1&amp;"$2:$"&amp;$E$1&amp;"$15"),达修波得!$A$2:$A$15),2,FALSE))</f>
        <v>磊</v>
      </c>
      <c r="H13" s="14" t="str">
        <f t="shared" ca="1" si="0"/>
        <v>爷磊</v>
      </c>
    </row>
    <row r="14" spans="1:8">
      <c r="A14" s="18" t="s">
        <v>60</v>
      </c>
      <c r="B14" s="18" t="s">
        <v>61</v>
      </c>
      <c r="F14" s="14" t="str">
        <f ca="1">IF(OR(OR($A14="",$B14=""),AND($C14&lt;&gt;"",$D14&lt;&gt;"")),"",VLOOKUP(A14,IF({1,0},INDIRECT("达修波得!$"&amp;$E$1&amp;"$2:$"&amp;$E$1&amp;"$15"),达修波得!$A$2:$A$15),2,FALSE))</f>
        <v>黑</v>
      </c>
      <c r="G14" s="14" t="str">
        <f ca="1">IF(OR(OR($A14="",$B14=""),AND($C14&lt;&gt;"",$D14&lt;&gt;"")),"",VLOOKUP(B14,IF({1,0},INDIRECT("达修波得!$"&amp;$E$1&amp;"$2:$"&amp;$E$1&amp;"$15"),达修波得!$A$2:$A$15),2,FALSE))</f>
        <v>贝</v>
      </c>
      <c r="H14" s="14" t="str">
        <f t="shared" ca="1" si="0"/>
        <v>黑贝</v>
      </c>
    </row>
    <row r="15" spans="1:8">
      <c r="A15" s="18" t="s">
        <v>70</v>
      </c>
      <c r="B15" s="18" t="s">
        <v>64</v>
      </c>
      <c r="F15" s="14" t="str">
        <f ca="1">IF(OR(OR($A15="",$B15=""),AND($C15&lt;&gt;"",$D15&lt;&gt;"")),"",VLOOKUP(A15,IF({1,0},INDIRECT("达修波得!$"&amp;$E$1&amp;"$2:$"&amp;$E$1&amp;"$15"),达修波得!$A$2:$A$15),2,FALSE))</f>
        <v>宇</v>
      </c>
      <c r="G15" s="14" t="str">
        <f ca="1">IF(OR(OR($A15="",$B15=""),AND($C15&lt;&gt;"",$D15&lt;&gt;"")),"",VLOOKUP(B15,IF({1,0},INDIRECT("达修波得!$"&amp;$E$1&amp;"$2:$"&amp;$E$1&amp;"$15"),达修波得!$A$2:$A$15),2,FALSE))</f>
        <v>贝</v>
      </c>
      <c r="H15" s="14" t="str">
        <f t="shared" ca="1" si="0"/>
        <v>宇贝</v>
      </c>
    </row>
    <row r="16" spans="1:8">
      <c r="A16" s="18" t="s">
        <v>65</v>
      </c>
      <c r="B16" s="18" t="s">
        <v>59</v>
      </c>
      <c r="F16" s="14" t="str">
        <f ca="1">IF(OR(OR($A16="",$B16=""),AND($C16&lt;&gt;"",$D16&lt;&gt;"")),"",VLOOKUP(A16,IF({1,0},INDIRECT("达修波得!$"&amp;$E$1&amp;"$2:$"&amp;$E$1&amp;"$15"),达修波得!$A$2:$A$15),2,FALSE))</f>
        <v>磊</v>
      </c>
      <c r="G16" s="14" t="str">
        <f ca="1">IF(OR(OR($A16="",$B16=""),AND($C16&lt;&gt;"",$D16&lt;&gt;"")),"",VLOOKUP(B16,IF({1,0},INDIRECT("达修波得!$"&amp;$E$1&amp;"$2:$"&amp;$E$1&amp;"$15"),达修波得!$A$2:$A$15),2,FALSE))</f>
        <v>二</v>
      </c>
      <c r="H16" s="14" t="str">
        <f t="shared" ca="1" si="0"/>
        <v>磊二</v>
      </c>
    </row>
    <row r="17" spans="1:8">
      <c r="A17" s="26" t="s">
        <v>11</v>
      </c>
      <c r="F17" s="14" t="str">
        <f ca="1">IF(OR(OR($A17="",$B17=""),AND($C17&lt;&gt;"",$D17&lt;&gt;"")),"",VLOOKUP(A17,IF({1,0},INDIRECT("达修波得!$"&amp;$E$1&amp;"$2:$"&amp;$E$1&amp;"$15"),达修波得!$A$2:$A$15),2,FALSE))</f>
        <v/>
      </c>
      <c r="G17" s="14" t="str">
        <f ca="1">IF(OR(OR($A17="",$B17=""),AND($C17&lt;&gt;"",$D17&lt;&gt;"")),"",VLOOKUP(B17,IF({1,0},INDIRECT("达修波得!$"&amp;$E$1&amp;"$2:$"&amp;$E$1&amp;"$15"),达修波得!$A$2:$A$15),2,FALSE))</f>
        <v/>
      </c>
      <c r="H17" s="14" t="str">
        <f t="shared" ca="1" si="0"/>
        <v/>
      </c>
    </row>
    <row r="18" spans="1:8">
      <c r="A18" s="18" t="s">
        <v>56</v>
      </c>
      <c r="B18" s="18" t="s">
        <v>66</v>
      </c>
      <c r="F18" s="14" t="str">
        <f ca="1">IF(OR(OR($A18="",$B18=""),AND($C18&lt;&gt;"",$D18&lt;&gt;"")),"",VLOOKUP(A18,IF({1,0},INDIRECT("达修波得!$"&amp;$E$1&amp;"$2:$"&amp;$E$1&amp;"$15"),达修波得!$A$2:$A$15),2,FALSE))</f>
        <v>宇</v>
      </c>
      <c r="G18" s="14" t="str">
        <f ca="1">IF(OR(OR($A18="",$B18=""),AND($C18&lt;&gt;"",$D18&lt;&gt;"")),"",VLOOKUP(B18,IF({1,0},INDIRECT("达修波得!$"&amp;$E$1&amp;"$2:$"&amp;$E$1&amp;"$15"),达修波得!$A$2:$A$15),2,FALSE))</f>
        <v>七</v>
      </c>
      <c r="H18" s="14" t="str">
        <f t="shared" ca="1" si="0"/>
        <v>宇七</v>
      </c>
    </row>
    <row r="19" spans="1:8">
      <c r="A19" s="18" t="s">
        <v>58</v>
      </c>
      <c r="B19" s="18" t="s">
        <v>68</v>
      </c>
      <c r="F19" s="14" t="str">
        <f ca="1">IF(OR(OR($A19="",$B19=""),AND($C19&lt;&gt;"",$D19&lt;&gt;"")),"",VLOOKUP(A19,IF({1,0},INDIRECT("达修波得!$"&amp;$E$1&amp;"$2:$"&amp;$E$1&amp;"$15"),达修波得!$A$2:$A$15),2,FALSE))</f>
        <v>爷</v>
      </c>
      <c r="G19" s="14" t="str">
        <f ca="1">IF(OR(OR($A19="",$B19=""),AND($C19&lt;&gt;"",$D19&lt;&gt;"")),"",VLOOKUP(B19,IF({1,0},INDIRECT("达修波得!$"&amp;$E$1&amp;"$2:$"&amp;$E$1&amp;"$15"),达修波得!$A$2:$A$15),2,FALSE))</f>
        <v>二</v>
      </c>
      <c r="H19" s="14" t="str">
        <f t="shared" ca="1" si="0"/>
        <v>爷二</v>
      </c>
    </row>
    <row r="20" spans="1:8">
      <c r="A20" s="18" t="s">
        <v>57</v>
      </c>
      <c r="B20" s="18" t="s">
        <v>67</v>
      </c>
      <c r="F20" s="14" t="str">
        <f ca="1">IF(OR(OR($A20="",$B20=""),AND($C20&lt;&gt;"",$D20&lt;&gt;"")),"",VLOOKUP(A20,IF({1,0},INDIRECT("达修波得!$"&amp;$E$1&amp;"$2:$"&amp;$E$1&amp;"$15"),达修波得!$A$2:$A$15),2,FALSE))</f>
        <v>黑</v>
      </c>
      <c r="G20" s="14" t="str">
        <f ca="1">IF(OR(OR($A20="",$B20=""),AND($C20&lt;&gt;"",$D20&lt;&gt;"")),"",VLOOKUP(B20,IF({1,0},INDIRECT("达修波得!$"&amp;$E$1&amp;"$2:$"&amp;$E$1&amp;"$15"),达修波得!$A$2:$A$15),2,FALSE))</f>
        <v>磊</v>
      </c>
      <c r="H20" s="14" t="str">
        <f t="shared" ca="1" si="0"/>
        <v>黑磊</v>
      </c>
    </row>
    <row r="21" spans="1:8">
      <c r="A21" s="18" t="s">
        <v>62</v>
      </c>
      <c r="B21" s="18" t="s">
        <v>61</v>
      </c>
      <c r="F21" s="14" t="str">
        <f ca="1">IF(OR(OR($A21="",$B21=""),AND($C21&lt;&gt;"",$D21&lt;&gt;"")),"",VLOOKUP(A21,IF({1,0},INDIRECT("达修波得!$"&amp;$E$1&amp;"$2:$"&amp;$E$1&amp;"$15"),达修波得!$A$2:$A$15),2,FALSE))</f>
        <v>七</v>
      </c>
      <c r="G21" s="14" t="str">
        <f ca="1">IF(OR(OR($A21="",$B21=""),AND($C21&lt;&gt;"",$D21&lt;&gt;"")),"",VLOOKUP(B21,IF({1,0},INDIRECT("达修波得!$"&amp;$E$1&amp;"$2:$"&amp;$E$1&amp;"$15"),达修波得!$A$2:$A$15),2,FALSE))</f>
        <v>贝</v>
      </c>
      <c r="H21" s="14" t="str">
        <f t="shared" ca="1" si="0"/>
        <v>七贝</v>
      </c>
    </row>
    <row r="22" spans="1:8">
      <c r="A22" s="18" t="s">
        <v>69</v>
      </c>
      <c r="B22" s="18" t="s">
        <v>64</v>
      </c>
      <c r="F22" s="14" t="str">
        <f ca="1">IF(OR(OR($A22="",$B22=""),AND($C22&lt;&gt;"",$D22&lt;&gt;"")),"",VLOOKUP(A22,IF({1,0},INDIRECT("达修波得!$"&amp;$E$1&amp;"$2:$"&amp;$E$1&amp;"$15"),达修波得!$A$2:$A$15),2,FALSE))</f>
        <v>爷</v>
      </c>
      <c r="G22" s="14" t="str">
        <f ca="1">IF(OR(OR($A22="",$B22=""),AND($C22&lt;&gt;"",$D22&lt;&gt;"")),"",VLOOKUP(B22,IF({1,0},INDIRECT("达修波得!$"&amp;$E$1&amp;"$2:$"&amp;$E$1&amp;"$15"),达修波得!$A$2:$A$15),2,FALSE))</f>
        <v>贝</v>
      </c>
      <c r="H22" s="14" t="str">
        <f t="shared" ca="1" si="0"/>
        <v>爷贝</v>
      </c>
    </row>
    <row r="23" spans="1:8">
      <c r="A23" s="18" t="s">
        <v>60</v>
      </c>
      <c r="B23" s="18" t="s">
        <v>59</v>
      </c>
      <c r="F23" s="14" t="str">
        <f ca="1">IF(OR(OR($A23="",$B23=""),AND($C23&lt;&gt;"",$D23&lt;&gt;"")),"",VLOOKUP(A23,IF({1,0},INDIRECT("达修波得!$"&amp;$E$1&amp;"$2:$"&amp;$E$1&amp;"$15"),达修波得!$A$2:$A$15),2,FALSE))</f>
        <v>黑</v>
      </c>
      <c r="G23" s="14" t="str">
        <f ca="1">IF(OR(OR($A23="",$B23=""),AND($C23&lt;&gt;"",$D23&lt;&gt;"")),"",VLOOKUP(B23,IF({1,0},INDIRECT("达修波得!$"&amp;$E$1&amp;"$2:$"&amp;$E$1&amp;"$15"),达修波得!$A$2:$A$15),2,FALSE))</f>
        <v>二</v>
      </c>
      <c r="H23" s="14" t="str">
        <f t="shared" ca="1" si="0"/>
        <v>黑二</v>
      </c>
    </row>
    <row r="24" spans="1:8">
      <c r="A24" s="18" t="s">
        <v>70</v>
      </c>
      <c r="B24" s="18" t="s">
        <v>65</v>
      </c>
      <c r="F24" s="14" t="str">
        <f ca="1">IF(OR(OR($A24="",$B24=""),AND($C24&lt;&gt;"",$D24&lt;&gt;"")),"",VLOOKUP(A24,IF({1,0},INDIRECT("达修波得!$"&amp;$E$1&amp;"$2:$"&amp;$E$1&amp;"$15"),达修波得!$A$2:$A$15),2,FALSE))</f>
        <v>宇</v>
      </c>
      <c r="G24" s="14" t="str">
        <f ca="1">IF(OR(OR($A24="",$B24=""),AND($C24&lt;&gt;"",$D24&lt;&gt;"")),"",VLOOKUP(B24,IF({1,0},INDIRECT("达修波得!$"&amp;$E$1&amp;"$2:$"&amp;$E$1&amp;"$15"),达修波得!$A$2:$A$15),2,FALSE))</f>
        <v>磊</v>
      </c>
      <c r="H24" s="14" t="str">
        <f t="shared" ca="1" si="0"/>
        <v>宇磊</v>
      </c>
    </row>
    <row r="25" spans="1:8">
      <c r="A25" s="26" t="s">
        <v>12</v>
      </c>
      <c r="F25" s="14" t="str">
        <f ca="1">IF(OR(OR($A25="",$B25=""),AND($C25&lt;&gt;"",$D25&lt;&gt;"")),"",VLOOKUP(A25,IF({1,0},INDIRECT("达修波得!$"&amp;$E$1&amp;"$2:$"&amp;$E$1&amp;"$15"),达修波得!$A$2:$A$15),2,FALSE))</f>
        <v/>
      </c>
      <c r="G25" s="14" t="str">
        <f ca="1">IF(OR(OR($A25="",$B25=""),AND($C25&lt;&gt;"",$D25&lt;&gt;"")),"",VLOOKUP(B25,IF({1,0},INDIRECT("达修波得!$"&amp;$E$1&amp;"$2:$"&amp;$E$1&amp;"$15"),达修波得!$A$2:$A$15),2,FALSE))</f>
        <v/>
      </c>
      <c r="H25" s="14" t="str">
        <f t="shared" ca="1" si="0"/>
        <v/>
      </c>
    </row>
    <row r="26" spans="1:8">
      <c r="A26" s="18" t="s">
        <v>56</v>
      </c>
      <c r="B26" s="18" t="s">
        <v>68</v>
      </c>
      <c r="F26" s="14" t="str">
        <f ca="1">IF(OR(OR($A26="",$B26=""),AND($C26&lt;&gt;"",$D26&lt;&gt;"")),"",VLOOKUP(A26,IF({1,0},INDIRECT("达修波得!$"&amp;$E$1&amp;"$2:$"&amp;$E$1&amp;"$15"),达修波得!$A$2:$A$15),2,FALSE))</f>
        <v>宇</v>
      </c>
      <c r="G26" s="14" t="str">
        <f ca="1">IF(OR(OR($A26="",$B26=""),AND($C26&lt;&gt;"",$D26&lt;&gt;"")),"",VLOOKUP(B26,IF({1,0},INDIRECT("达修波得!$"&amp;$E$1&amp;"$2:$"&amp;$E$1&amp;"$15"),达修波得!$A$2:$A$15),2,FALSE))</f>
        <v>二</v>
      </c>
      <c r="H26" s="14" t="str">
        <f t="shared" ca="1" si="0"/>
        <v>宇二</v>
      </c>
    </row>
    <row r="27" spans="1:8">
      <c r="A27" s="18" t="s">
        <v>66</v>
      </c>
      <c r="B27" s="18" t="s">
        <v>67</v>
      </c>
      <c r="F27" s="14" t="str">
        <f ca="1">IF(OR(OR($A27="",$B27=""),AND($C27&lt;&gt;"",$D27&lt;&gt;"")),"",VLOOKUP(A27,IF({1,0},INDIRECT("达修波得!$"&amp;$E$1&amp;"$2:$"&amp;$E$1&amp;"$15"),达修波得!$A$2:$A$15),2,FALSE))</f>
        <v>七</v>
      </c>
      <c r="G27" s="14" t="str">
        <f ca="1">IF(OR(OR($A27="",$B27=""),AND($C27&lt;&gt;"",$D27&lt;&gt;"")),"",VLOOKUP(B27,IF({1,0},INDIRECT("达修波得!$"&amp;$E$1&amp;"$2:$"&amp;$E$1&amp;"$15"),达修波得!$A$2:$A$15),2,FALSE))</f>
        <v>磊</v>
      </c>
      <c r="H27" s="14" t="str">
        <f t="shared" ca="1" si="0"/>
        <v>七磊</v>
      </c>
    </row>
    <row r="28" spans="1:8">
      <c r="A28" s="18" t="s">
        <v>58</v>
      </c>
      <c r="B28" s="18" t="s">
        <v>61</v>
      </c>
      <c r="F28" s="14" t="str">
        <f ca="1">IF(OR(OR($A28="",$B28=""),AND($C28&lt;&gt;"",$D28&lt;&gt;"")),"",VLOOKUP(A28,IF({1,0},INDIRECT("达修波得!$"&amp;$E$1&amp;"$2:$"&amp;$E$1&amp;"$15"),达修波得!$A$2:$A$15),2,FALSE))</f>
        <v>爷</v>
      </c>
      <c r="G28" s="14" t="str">
        <f ca="1">IF(OR(OR($A28="",$B28=""),AND($C28&lt;&gt;"",$D28&lt;&gt;"")),"",VLOOKUP(B28,IF({1,0},INDIRECT("达修波得!$"&amp;$E$1&amp;"$2:$"&amp;$E$1&amp;"$15"),达修波得!$A$2:$A$15),2,FALSE))</f>
        <v>贝</v>
      </c>
      <c r="H28" s="14" t="str">
        <f t="shared" ca="1" si="0"/>
        <v>爷贝</v>
      </c>
    </row>
    <row r="29" spans="1:8">
      <c r="A29" s="18" t="s">
        <v>57</v>
      </c>
      <c r="B29" s="18" t="s">
        <v>64</v>
      </c>
      <c r="F29" s="14" t="str">
        <f ca="1">IF(OR(OR($A29="",$B29=""),AND($C29&lt;&gt;"",$D29&lt;&gt;"")),"",VLOOKUP(A29,IF({1,0},INDIRECT("达修波得!$"&amp;$E$1&amp;"$2:$"&amp;$E$1&amp;"$15"),达修波得!$A$2:$A$15),2,FALSE))</f>
        <v>黑</v>
      </c>
      <c r="G29" s="14" t="str">
        <f ca="1">IF(OR(OR($A29="",$B29=""),AND($C29&lt;&gt;"",$D29&lt;&gt;"")),"",VLOOKUP(B29,IF({1,0},INDIRECT("达修波得!$"&amp;$E$1&amp;"$2:$"&amp;$E$1&amp;"$15"),达修波得!$A$2:$A$15),2,FALSE))</f>
        <v>贝</v>
      </c>
      <c r="H29" s="14" t="str">
        <f t="shared" ca="1" si="0"/>
        <v>黑贝</v>
      </c>
    </row>
    <row r="30" spans="1:8">
      <c r="A30" s="18" t="s">
        <v>62</v>
      </c>
      <c r="B30" s="18" t="s">
        <v>59</v>
      </c>
      <c r="F30" s="14" t="str">
        <f ca="1">IF(OR(OR($A30="",$B30=""),AND($C30&lt;&gt;"",$D30&lt;&gt;"")),"",VLOOKUP(A30,IF({1,0},INDIRECT("达修波得!$"&amp;$E$1&amp;"$2:$"&amp;$E$1&amp;"$15"),达修波得!$A$2:$A$15),2,FALSE))</f>
        <v>七</v>
      </c>
      <c r="G30" s="14" t="str">
        <f ca="1">IF(OR(OR($A30="",$B30=""),AND($C30&lt;&gt;"",$D30&lt;&gt;"")),"",VLOOKUP(B30,IF({1,0},INDIRECT("达修波得!$"&amp;$E$1&amp;"$2:$"&amp;$E$1&amp;"$15"),达修波得!$A$2:$A$15),2,FALSE))</f>
        <v>二</v>
      </c>
      <c r="H30" s="14" t="str">
        <f t="shared" ca="1" si="0"/>
        <v>七二</v>
      </c>
    </row>
    <row r="31" spans="1:8">
      <c r="A31" s="18" t="s">
        <v>69</v>
      </c>
      <c r="B31" s="18" t="s">
        <v>65</v>
      </c>
      <c r="F31" s="14" t="str">
        <f ca="1">IF(OR(OR($A31="",$B31=""),AND($C31&lt;&gt;"",$D31&lt;&gt;"")),"",VLOOKUP(A31,IF({1,0},INDIRECT("达修波得!$"&amp;$E$1&amp;"$2:$"&amp;$E$1&amp;"$15"),达修波得!$A$2:$A$15),2,FALSE))</f>
        <v>爷</v>
      </c>
      <c r="G31" s="14" t="str">
        <f ca="1">IF(OR(OR($A31="",$B31=""),AND($C31&lt;&gt;"",$D31&lt;&gt;"")),"",VLOOKUP(B31,IF({1,0},INDIRECT("达修波得!$"&amp;$E$1&amp;"$2:$"&amp;$E$1&amp;"$15"),达修波得!$A$2:$A$15),2,FALSE))</f>
        <v>磊</v>
      </c>
      <c r="H31" s="14" t="str">
        <f t="shared" ca="1" si="0"/>
        <v>爷磊</v>
      </c>
    </row>
    <row r="32" spans="1:8">
      <c r="A32" s="18" t="s">
        <v>60</v>
      </c>
      <c r="B32" s="18" t="s">
        <v>70</v>
      </c>
      <c r="F32" s="14" t="str">
        <f ca="1">IF(OR(OR($A32="",$B32=""),AND($C32&lt;&gt;"",$D32&lt;&gt;"")),"",VLOOKUP(A32,IF({1,0},INDIRECT("达修波得!$"&amp;$E$1&amp;"$2:$"&amp;$E$1&amp;"$15"),达修波得!$A$2:$A$15),2,FALSE))</f>
        <v>黑</v>
      </c>
      <c r="G32" s="14" t="str">
        <f ca="1">IF(OR(OR($A32="",$B32=""),AND($C32&lt;&gt;"",$D32&lt;&gt;"")),"",VLOOKUP(B32,IF({1,0},INDIRECT("达修波得!$"&amp;$E$1&amp;"$2:$"&amp;$E$1&amp;"$15"),达修波得!$A$2:$A$15),2,FALSE))</f>
        <v>宇</v>
      </c>
      <c r="H32" s="14" t="str">
        <f t="shared" ca="1" si="0"/>
        <v>黑宇</v>
      </c>
    </row>
    <row r="33" spans="1:8">
      <c r="A33" s="26" t="s">
        <v>13</v>
      </c>
      <c r="F33" s="14" t="str">
        <f ca="1">IF(OR(OR($A33="",$B33=""),AND($C33&lt;&gt;"",$D33&lt;&gt;"")),"",VLOOKUP(A33,IF({1,0},INDIRECT("达修波得!$"&amp;$E$1&amp;"$2:$"&amp;$E$1&amp;"$15"),达修波得!$A$2:$A$15),2,FALSE))</f>
        <v/>
      </c>
      <c r="G33" s="14" t="str">
        <f ca="1">IF(OR(OR($A33="",$B33=""),AND($C33&lt;&gt;"",$D33&lt;&gt;"")),"",VLOOKUP(B33,IF({1,0},INDIRECT("达修波得!$"&amp;$E$1&amp;"$2:$"&amp;$E$1&amp;"$15"),达修波得!$A$2:$A$15),2,FALSE))</f>
        <v/>
      </c>
      <c r="H33" s="14" t="str">
        <f t="shared" ca="1" si="0"/>
        <v/>
      </c>
    </row>
    <row r="34" spans="1:8">
      <c r="A34" s="18" t="s">
        <v>56</v>
      </c>
      <c r="B34" s="18" t="s">
        <v>67</v>
      </c>
      <c r="F34" s="14" t="str">
        <f ca="1">IF(OR(OR($A34="",$B34=""),AND($C34&lt;&gt;"",$D34&lt;&gt;"")),"",VLOOKUP(A34,IF({1,0},INDIRECT("达修波得!$"&amp;$E$1&amp;"$2:$"&amp;$E$1&amp;"$15"),达修波得!$A$2:$A$15),2,FALSE))</f>
        <v>宇</v>
      </c>
      <c r="G34" s="14" t="str">
        <f ca="1">IF(OR(OR($A34="",$B34=""),AND($C34&lt;&gt;"",$D34&lt;&gt;"")),"",VLOOKUP(B34,IF({1,0},INDIRECT("达修波得!$"&amp;$E$1&amp;"$2:$"&amp;$E$1&amp;"$15"),达修波得!$A$2:$A$15),2,FALSE))</f>
        <v>磊</v>
      </c>
      <c r="H34" s="14" t="str">
        <f t="shared" ca="1" si="0"/>
        <v>宇磊</v>
      </c>
    </row>
    <row r="35" spans="1:8">
      <c r="A35" s="18" t="s">
        <v>68</v>
      </c>
      <c r="B35" s="18" t="s">
        <v>61</v>
      </c>
      <c r="F35" s="14" t="str">
        <f ca="1">IF(OR(OR($A35="",$B35=""),AND($C35&lt;&gt;"",$D35&lt;&gt;"")),"",VLOOKUP(A35,IF({1,0},INDIRECT("达修波得!$"&amp;$E$1&amp;"$2:$"&amp;$E$1&amp;"$15"),达修波得!$A$2:$A$15),2,FALSE))</f>
        <v>二</v>
      </c>
      <c r="G35" s="14" t="str">
        <f ca="1">IF(OR(OR($A35="",$B35=""),AND($C35&lt;&gt;"",$D35&lt;&gt;"")),"",VLOOKUP(B35,IF({1,0},INDIRECT("达修波得!$"&amp;$E$1&amp;"$2:$"&amp;$E$1&amp;"$15"),达修波得!$A$2:$A$15),2,FALSE))</f>
        <v>贝</v>
      </c>
      <c r="H35" s="14" t="str">
        <f t="shared" ca="1" si="0"/>
        <v>二贝</v>
      </c>
    </row>
    <row r="36" spans="1:8">
      <c r="A36" s="18" t="s">
        <v>66</v>
      </c>
      <c r="B36" s="18" t="s">
        <v>64</v>
      </c>
      <c r="F36" s="14" t="str">
        <f ca="1">IF(OR(OR($A36="",$B36=""),AND($C36&lt;&gt;"",$D36&lt;&gt;"")),"",VLOOKUP(A36,IF({1,0},INDIRECT("达修波得!$"&amp;$E$1&amp;"$2:$"&amp;$E$1&amp;"$15"),达修波得!$A$2:$A$15),2,FALSE))</f>
        <v>七</v>
      </c>
      <c r="G36" s="14" t="str">
        <f ca="1">IF(OR(OR($A36="",$B36=""),AND($C36&lt;&gt;"",$D36&lt;&gt;"")),"",VLOOKUP(B36,IF({1,0},INDIRECT("达修波得!$"&amp;$E$1&amp;"$2:$"&amp;$E$1&amp;"$15"),达修波得!$A$2:$A$15),2,FALSE))</f>
        <v>贝</v>
      </c>
      <c r="H36" s="14" t="str">
        <f t="shared" ca="1" si="0"/>
        <v>七贝</v>
      </c>
    </row>
    <row r="37" spans="1:8">
      <c r="A37" s="18" t="s">
        <v>58</v>
      </c>
      <c r="B37" s="18" t="s">
        <v>59</v>
      </c>
      <c r="F37" s="14" t="str">
        <f ca="1">IF(OR(OR($A37="",$B37=""),AND($C37&lt;&gt;"",$D37&lt;&gt;"")),"",VLOOKUP(A37,IF({1,0},INDIRECT("达修波得!$"&amp;$E$1&amp;"$2:$"&amp;$E$1&amp;"$15"),达修波得!$A$2:$A$15),2,FALSE))</f>
        <v>爷</v>
      </c>
      <c r="G37" s="14" t="str">
        <f ca="1">IF(OR(OR($A37="",$B37=""),AND($C37&lt;&gt;"",$D37&lt;&gt;"")),"",VLOOKUP(B37,IF({1,0},INDIRECT("达修波得!$"&amp;$E$1&amp;"$2:$"&amp;$E$1&amp;"$15"),达修波得!$A$2:$A$15),2,FALSE))</f>
        <v>二</v>
      </c>
      <c r="H37" s="14" t="str">
        <f t="shared" ca="1" si="0"/>
        <v>爷二</v>
      </c>
    </row>
    <row r="38" spans="1:8">
      <c r="A38" s="18" t="s">
        <v>57</v>
      </c>
      <c r="B38" s="18" t="s">
        <v>65</v>
      </c>
      <c r="F38" s="14" t="str">
        <f ca="1">IF(OR(OR($A38="",$B38=""),AND($C38&lt;&gt;"",$D38&lt;&gt;"")),"",VLOOKUP(A38,IF({1,0},INDIRECT("达修波得!$"&amp;$E$1&amp;"$2:$"&amp;$E$1&amp;"$15"),达修波得!$A$2:$A$15),2,FALSE))</f>
        <v>黑</v>
      </c>
      <c r="G38" s="14" t="str">
        <f ca="1">IF(OR(OR($A38="",$B38=""),AND($C38&lt;&gt;"",$D38&lt;&gt;"")),"",VLOOKUP(B38,IF({1,0},INDIRECT("达修波得!$"&amp;$E$1&amp;"$2:$"&amp;$E$1&amp;"$15"),达修波得!$A$2:$A$15),2,FALSE))</f>
        <v>磊</v>
      </c>
      <c r="H38" s="14" t="str">
        <f t="shared" ca="1" si="0"/>
        <v>黑磊</v>
      </c>
    </row>
    <row r="39" spans="1:8">
      <c r="A39" s="18" t="s">
        <v>62</v>
      </c>
      <c r="B39" s="18" t="s">
        <v>70</v>
      </c>
      <c r="F39" s="14" t="str">
        <f ca="1">IF(OR(OR($A39="",$B39=""),AND($C39&lt;&gt;"",$D39&lt;&gt;"")),"",VLOOKUP(A39,IF({1,0},INDIRECT("达修波得!$"&amp;$E$1&amp;"$2:$"&amp;$E$1&amp;"$15"),达修波得!$A$2:$A$15),2,FALSE))</f>
        <v>七</v>
      </c>
      <c r="G39" s="14" t="str">
        <f ca="1">IF(OR(OR($A39="",$B39=""),AND($C39&lt;&gt;"",$D39&lt;&gt;"")),"",VLOOKUP(B39,IF({1,0},INDIRECT("达修波得!$"&amp;$E$1&amp;"$2:$"&amp;$E$1&amp;"$15"),达修波得!$A$2:$A$15),2,FALSE))</f>
        <v>宇</v>
      </c>
      <c r="H39" s="14" t="str">
        <f t="shared" ca="1" si="0"/>
        <v>七宇</v>
      </c>
    </row>
    <row r="40" spans="1:8">
      <c r="A40" s="18" t="s">
        <v>69</v>
      </c>
      <c r="B40" s="18" t="s">
        <v>60</v>
      </c>
      <c r="F40" s="14" t="str">
        <f ca="1">IF(OR(OR($A40="",$B40=""),AND($C40&lt;&gt;"",$D40&lt;&gt;"")),"",VLOOKUP(A40,IF({1,0},INDIRECT("达修波得!$"&amp;$E$1&amp;"$2:$"&amp;$E$1&amp;"$15"),达修波得!$A$2:$A$15),2,FALSE))</f>
        <v>爷</v>
      </c>
      <c r="G40" s="14" t="str">
        <f ca="1">IF(OR(OR($A40="",$B40=""),AND($C40&lt;&gt;"",$D40&lt;&gt;"")),"",VLOOKUP(B40,IF({1,0},INDIRECT("达修波得!$"&amp;$E$1&amp;"$2:$"&amp;$E$1&amp;"$15"),达修波得!$A$2:$A$15),2,FALSE))</f>
        <v>黑</v>
      </c>
      <c r="H40" s="14" t="str">
        <f t="shared" ca="1" si="0"/>
        <v>爷黑</v>
      </c>
    </row>
    <row r="41" spans="1:8">
      <c r="A41" s="26" t="s">
        <v>14</v>
      </c>
      <c r="F41" s="14" t="str">
        <f ca="1">IF(OR(OR($A41="",$B41=""),AND($C41&lt;&gt;"",$D41&lt;&gt;"")),"",VLOOKUP(A41,IF({1,0},INDIRECT("达修波得!$"&amp;$E$1&amp;"$2:$"&amp;$E$1&amp;"$15"),达修波得!$A$2:$A$15),2,FALSE))</f>
        <v/>
      </c>
      <c r="G41" s="14" t="str">
        <f ca="1">IF(OR(OR($A41="",$B41=""),AND($C41&lt;&gt;"",$D41&lt;&gt;"")),"",VLOOKUP(B41,IF({1,0},INDIRECT("达修波得!$"&amp;$E$1&amp;"$2:$"&amp;$E$1&amp;"$15"),达修波得!$A$2:$A$15),2,FALSE))</f>
        <v/>
      </c>
      <c r="H41" s="14" t="str">
        <f t="shared" ca="1" si="0"/>
        <v/>
      </c>
    </row>
    <row r="42" spans="1:8">
      <c r="A42" s="18" t="s">
        <v>56</v>
      </c>
      <c r="B42" s="18" t="s">
        <v>61</v>
      </c>
      <c r="F42" s="14" t="str">
        <f ca="1">IF(OR(OR($A42="",$B42=""),AND($C42&lt;&gt;"",$D42&lt;&gt;"")),"",VLOOKUP(A42,IF({1,0},INDIRECT("达修波得!$"&amp;$E$1&amp;"$2:$"&amp;$E$1&amp;"$15"),达修波得!$A$2:$A$15),2,FALSE))</f>
        <v>宇</v>
      </c>
      <c r="G42" s="14" t="str">
        <f ca="1">IF(OR(OR($A42="",$B42=""),AND($C42&lt;&gt;"",$D42&lt;&gt;"")),"",VLOOKUP(B42,IF({1,0},INDIRECT("达修波得!$"&amp;$E$1&amp;"$2:$"&amp;$E$1&amp;"$15"),达修波得!$A$2:$A$15),2,FALSE))</f>
        <v>贝</v>
      </c>
      <c r="H42" s="14" t="str">
        <f t="shared" ca="1" si="0"/>
        <v>宇贝</v>
      </c>
    </row>
    <row r="43" spans="1:8">
      <c r="A43" s="18" t="s">
        <v>67</v>
      </c>
      <c r="B43" s="18" t="s">
        <v>64</v>
      </c>
      <c r="F43" s="14" t="str">
        <f ca="1">IF(OR(OR($A43="",$B43=""),AND($C43&lt;&gt;"",$D43&lt;&gt;"")),"",VLOOKUP(A43,IF({1,0},INDIRECT("达修波得!$"&amp;$E$1&amp;"$2:$"&amp;$E$1&amp;"$15"),达修波得!$A$2:$A$15),2,FALSE))</f>
        <v>磊</v>
      </c>
      <c r="G43" s="14" t="str">
        <f ca="1">IF(OR(OR($A43="",$B43=""),AND($C43&lt;&gt;"",$D43&lt;&gt;"")),"",VLOOKUP(B43,IF({1,0},INDIRECT("达修波得!$"&amp;$E$1&amp;"$2:$"&amp;$E$1&amp;"$15"),达修波得!$A$2:$A$15),2,FALSE))</f>
        <v>贝</v>
      </c>
      <c r="H43" s="14" t="str">
        <f t="shared" ca="1" si="0"/>
        <v>磊贝</v>
      </c>
    </row>
    <row r="44" spans="1:8">
      <c r="A44" s="18" t="s">
        <v>68</v>
      </c>
      <c r="B44" s="18" t="s">
        <v>59</v>
      </c>
      <c r="F44" s="14" t="str">
        <f ca="1">IF(OR(OR($A44="",$B44=""),AND($C44&lt;&gt;"",$D44&lt;&gt;"")),"",VLOOKUP(A44,IF({1,0},INDIRECT("达修波得!$"&amp;$E$1&amp;"$2:$"&amp;$E$1&amp;"$15"),达修波得!$A$2:$A$15),2,FALSE))</f>
        <v>二</v>
      </c>
      <c r="G44" s="14" t="str">
        <f ca="1">IF(OR(OR($A44="",$B44=""),AND($C44&lt;&gt;"",$D44&lt;&gt;"")),"",VLOOKUP(B44,IF({1,0},INDIRECT("达修波得!$"&amp;$E$1&amp;"$2:$"&amp;$E$1&amp;"$15"),达修波得!$A$2:$A$15),2,FALSE))</f>
        <v>二</v>
      </c>
      <c r="H44" s="14" t="str">
        <f t="shared" ca="1" si="0"/>
        <v>二二</v>
      </c>
    </row>
    <row r="45" spans="1:8">
      <c r="A45" s="18" t="s">
        <v>66</v>
      </c>
      <c r="B45" s="18" t="s">
        <v>65</v>
      </c>
      <c r="F45" s="14" t="str">
        <f ca="1">IF(OR(OR($A45="",$B45=""),AND($C45&lt;&gt;"",$D45&lt;&gt;"")),"",VLOOKUP(A45,IF({1,0},INDIRECT("达修波得!$"&amp;$E$1&amp;"$2:$"&amp;$E$1&amp;"$15"),达修波得!$A$2:$A$15),2,FALSE))</f>
        <v>七</v>
      </c>
      <c r="G45" s="14" t="str">
        <f ca="1">IF(OR(OR($A45="",$B45=""),AND($C45&lt;&gt;"",$D45&lt;&gt;"")),"",VLOOKUP(B45,IF({1,0},INDIRECT("达修波得!$"&amp;$E$1&amp;"$2:$"&amp;$E$1&amp;"$15"),达修波得!$A$2:$A$15),2,FALSE))</f>
        <v>磊</v>
      </c>
      <c r="H45" s="14" t="str">
        <f t="shared" ca="1" si="0"/>
        <v>七磊</v>
      </c>
    </row>
    <row r="46" spans="1:8">
      <c r="A46" s="18" t="s">
        <v>58</v>
      </c>
      <c r="B46" s="18" t="s">
        <v>70</v>
      </c>
      <c r="F46" s="14" t="str">
        <f ca="1">IF(OR(OR($A46="",$B46=""),AND($C46&lt;&gt;"",$D46&lt;&gt;"")),"",VLOOKUP(A46,IF({1,0},INDIRECT("达修波得!$"&amp;$E$1&amp;"$2:$"&amp;$E$1&amp;"$15"),达修波得!$A$2:$A$15),2,FALSE))</f>
        <v>爷</v>
      </c>
      <c r="G46" s="14" t="str">
        <f ca="1">IF(OR(OR($A46="",$B46=""),AND($C46&lt;&gt;"",$D46&lt;&gt;"")),"",VLOOKUP(B46,IF({1,0},INDIRECT("达修波得!$"&amp;$E$1&amp;"$2:$"&amp;$E$1&amp;"$15"),达修波得!$A$2:$A$15),2,FALSE))</f>
        <v>宇</v>
      </c>
      <c r="H46" s="14" t="str">
        <f t="shared" ca="1" si="0"/>
        <v>爷宇</v>
      </c>
    </row>
    <row r="47" spans="1:8">
      <c r="A47" s="18" t="s">
        <v>57</v>
      </c>
      <c r="B47" s="18" t="s">
        <v>60</v>
      </c>
      <c r="F47" s="14" t="str">
        <f ca="1">IF(OR(OR($A47="",$B47=""),AND($C47&lt;&gt;"",$D47&lt;&gt;"")),"",VLOOKUP(A47,IF({1,0},INDIRECT("达修波得!$"&amp;$E$1&amp;"$2:$"&amp;$E$1&amp;"$15"),达修波得!$A$2:$A$15),2,FALSE))</f>
        <v>黑</v>
      </c>
      <c r="G47" s="14" t="str">
        <f ca="1">IF(OR(OR($A47="",$B47=""),AND($C47&lt;&gt;"",$D47&lt;&gt;"")),"",VLOOKUP(B47,IF({1,0},INDIRECT("达修波得!$"&amp;$E$1&amp;"$2:$"&amp;$E$1&amp;"$15"),达修波得!$A$2:$A$15),2,FALSE))</f>
        <v>黑</v>
      </c>
      <c r="H47" s="14" t="str">
        <f t="shared" ca="1" si="0"/>
        <v>黑黑</v>
      </c>
    </row>
    <row r="48" spans="1:8">
      <c r="A48" s="18" t="s">
        <v>62</v>
      </c>
      <c r="B48" s="18" t="s">
        <v>69</v>
      </c>
      <c r="F48" s="14" t="str">
        <f ca="1">IF(OR(OR($A48="",$B48=""),AND($C48&lt;&gt;"",$D48&lt;&gt;"")),"",VLOOKUP(A48,IF({1,0},INDIRECT("达修波得!$"&amp;$E$1&amp;"$2:$"&amp;$E$1&amp;"$15"),达修波得!$A$2:$A$15),2,FALSE))</f>
        <v>七</v>
      </c>
      <c r="G48" s="14" t="str">
        <f ca="1">IF(OR(OR($A48="",$B48=""),AND($C48&lt;&gt;"",$D48&lt;&gt;"")),"",VLOOKUP(B48,IF({1,0},INDIRECT("达修波得!$"&amp;$E$1&amp;"$2:$"&amp;$E$1&amp;"$15"),达修波得!$A$2:$A$15),2,FALSE))</f>
        <v>爷</v>
      </c>
      <c r="H48" s="14" t="str">
        <f t="shared" ca="1" si="0"/>
        <v>七爷</v>
      </c>
    </row>
    <row r="49" spans="1:8">
      <c r="A49" s="26" t="s">
        <v>15</v>
      </c>
      <c r="F49" s="14" t="str">
        <f ca="1">IF(OR(OR($A49="",$B49=""),AND($C49&lt;&gt;"",$D49&lt;&gt;"")),"",VLOOKUP(A49,IF({1,0},INDIRECT("达修波得!$"&amp;$E$1&amp;"$2:$"&amp;$E$1&amp;"$15"),达修波得!$A$2:$A$15),2,FALSE))</f>
        <v/>
      </c>
      <c r="G49" s="14" t="str">
        <f ca="1">IF(OR(OR($A49="",$B49=""),AND($C49&lt;&gt;"",$D49&lt;&gt;"")),"",VLOOKUP(B49,IF({1,0},INDIRECT("达修波得!$"&amp;$E$1&amp;"$2:$"&amp;$E$1&amp;"$15"),达修波得!$A$2:$A$15),2,FALSE))</f>
        <v/>
      </c>
      <c r="H49" s="14" t="str">
        <f t="shared" ca="1" si="0"/>
        <v/>
      </c>
    </row>
    <row r="50" spans="1:8">
      <c r="A50" s="18" t="s">
        <v>56</v>
      </c>
      <c r="B50" s="18" t="s">
        <v>64</v>
      </c>
      <c r="F50" s="14" t="str">
        <f ca="1">IF(OR(OR($A50="",$B50=""),AND($C50&lt;&gt;"",$D50&lt;&gt;"")),"",VLOOKUP(A50,IF({1,0},INDIRECT("达修波得!$"&amp;$E$1&amp;"$2:$"&amp;$E$1&amp;"$15"),达修波得!$A$2:$A$15),2,FALSE))</f>
        <v>宇</v>
      </c>
      <c r="G50" s="14" t="str">
        <f ca="1">IF(OR(OR($A50="",$B50=""),AND($C50&lt;&gt;"",$D50&lt;&gt;"")),"",VLOOKUP(B50,IF({1,0},INDIRECT("达修波得!$"&amp;$E$1&amp;"$2:$"&amp;$E$1&amp;"$15"),达修波得!$A$2:$A$15),2,FALSE))</f>
        <v>贝</v>
      </c>
      <c r="H50" s="14" t="str">
        <f t="shared" ca="1" si="0"/>
        <v>宇贝</v>
      </c>
    </row>
    <row r="51" spans="1:8">
      <c r="A51" s="18" t="s">
        <v>61</v>
      </c>
      <c r="B51" s="18" t="s">
        <v>59</v>
      </c>
      <c r="F51" s="14" t="str">
        <f ca="1">IF(OR(OR($A51="",$B51=""),AND($C51&lt;&gt;"",$D51&lt;&gt;"")),"",VLOOKUP(A51,IF({1,0},INDIRECT("达修波得!$"&amp;$E$1&amp;"$2:$"&amp;$E$1&amp;"$15"),达修波得!$A$2:$A$15),2,FALSE))</f>
        <v>贝</v>
      </c>
      <c r="G51" s="14" t="str">
        <f ca="1">IF(OR(OR($A51="",$B51=""),AND($C51&lt;&gt;"",$D51&lt;&gt;"")),"",VLOOKUP(B51,IF({1,0},INDIRECT("达修波得!$"&amp;$E$1&amp;"$2:$"&amp;$E$1&amp;"$15"),达修波得!$A$2:$A$15),2,FALSE))</f>
        <v>二</v>
      </c>
      <c r="H51" s="14" t="str">
        <f t="shared" ca="1" si="0"/>
        <v>贝二</v>
      </c>
    </row>
    <row r="52" spans="1:8">
      <c r="A52" s="18" t="s">
        <v>67</v>
      </c>
      <c r="B52" s="18" t="s">
        <v>65</v>
      </c>
      <c r="F52" s="14" t="str">
        <f ca="1">IF(OR(OR($A52="",$B52=""),AND($C52&lt;&gt;"",$D52&lt;&gt;"")),"",VLOOKUP(A52,IF({1,0},INDIRECT("达修波得!$"&amp;$E$1&amp;"$2:$"&amp;$E$1&amp;"$15"),达修波得!$A$2:$A$15),2,FALSE))</f>
        <v>磊</v>
      </c>
      <c r="G52" s="14" t="str">
        <f ca="1">IF(OR(OR($A52="",$B52=""),AND($C52&lt;&gt;"",$D52&lt;&gt;"")),"",VLOOKUP(B52,IF({1,0},INDIRECT("达修波得!$"&amp;$E$1&amp;"$2:$"&amp;$E$1&amp;"$15"),达修波得!$A$2:$A$15),2,FALSE))</f>
        <v>磊</v>
      </c>
      <c r="H52" s="14" t="str">
        <f t="shared" ca="1" si="0"/>
        <v>磊磊</v>
      </c>
    </row>
    <row r="53" spans="1:8">
      <c r="A53" s="18" t="s">
        <v>68</v>
      </c>
      <c r="B53" s="18" t="s">
        <v>70</v>
      </c>
      <c r="F53" s="14" t="str">
        <f ca="1">IF(OR(OR($A53="",$B53=""),AND($C53&lt;&gt;"",$D53&lt;&gt;"")),"",VLOOKUP(A53,IF({1,0},INDIRECT("达修波得!$"&amp;$E$1&amp;"$2:$"&amp;$E$1&amp;"$15"),达修波得!$A$2:$A$15),2,FALSE))</f>
        <v>二</v>
      </c>
      <c r="G53" s="14" t="str">
        <f ca="1">IF(OR(OR($A53="",$B53=""),AND($C53&lt;&gt;"",$D53&lt;&gt;"")),"",VLOOKUP(B53,IF({1,0},INDIRECT("达修波得!$"&amp;$E$1&amp;"$2:$"&amp;$E$1&amp;"$15"),达修波得!$A$2:$A$15),2,FALSE))</f>
        <v>宇</v>
      </c>
      <c r="H53" s="14" t="str">
        <f t="shared" ca="1" si="0"/>
        <v>二宇</v>
      </c>
    </row>
    <row r="54" spans="1:8">
      <c r="A54" s="18" t="s">
        <v>66</v>
      </c>
      <c r="B54" s="18" t="s">
        <v>60</v>
      </c>
      <c r="F54" s="14" t="str">
        <f ca="1">IF(OR(OR($A54="",$B54=""),AND($C54&lt;&gt;"",$D54&lt;&gt;"")),"",VLOOKUP(A54,IF({1,0},INDIRECT("达修波得!$"&amp;$E$1&amp;"$2:$"&amp;$E$1&amp;"$15"),达修波得!$A$2:$A$15),2,FALSE))</f>
        <v>七</v>
      </c>
      <c r="G54" s="14" t="str">
        <f ca="1">IF(OR(OR($A54="",$B54=""),AND($C54&lt;&gt;"",$D54&lt;&gt;"")),"",VLOOKUP(B54,IF({1,0},INDIRECT("达修波得!$"&amp;$E$1&amp;"$2:$"&amp;$E$1&amp;"$15"),达修波得!$A$2:$A$15),2,FALSE))</f>
        <v>黑</v>
      </c>
      <c r="H54" s="14" t="str">
        <f t="shared" ca="1" si="0"/>
        <v>七黑</v>
      </c>
    </row>
    <row r="55" spans="1:8">
      <c r="A55" s="18" t="s">
        <v>58</v>
      </c>
      <c r="B55" s="18" t="s">
        <v>69</v>
      </c>
      <c r="F55" s="14" t="str">
        <f ca="1">IF(OR(OR($A55="",$B55=""),AND($C55&lt;&gt;"",$D55&lt;&gt;"")),"",VLOOKUP(A55,IF({1,0},INDIRECT("达修波得!$"&amp;$E$1&amp;"$2:$"&amp;$E$1&amp;"$15"),达修波得!$A$2:$A$15),2,FALSE))</f>
        <v>爷</v>
      </c>
      <c r="G55" s="14" t="str">
        <f ca="1">IF(OR(OR($A55="",$B55=""),AND($C55&lt;&gt;"",$D55&lt;&gt;"")),"",VLOOKUP(B55,IF({1,0},INDIRECT("达修波得!$"&amp;$E$1&amp;"$2:$"&amp;$E$1&amp;"$15"),达修波得!$A$2:$A$15),2,FALSE))</f>
        <v>爷</v>
      </c>
      <c r="H55" s="14" t="str">
        <f t="shared" ca="1" si="0"/>
        <v>爷爷</v>
      </c>
    </row>
    <row r="56" spans="1:8">
      <c r="A56" s="18" t="s">
        <v>57</v>
      </c>
      <c r="B56" s="18" t="s">
        <v>62</v>
      </c>
      <c r="F56" s="14" t="str">
        <f ca="1">IF(OR(OR($A56="",$B56=""),AND($C56&lt;&gt;"",$D56&lt;&gt;"")),"",VLOOKUP(A56,IF({1,0},INDIRECT("达修波得!$"&amp;$E$1&amp;"$2:$"&amp;$E$1&amp;"$15"),达修波得!$A$2:$A$15),2,FALSE))</f>
        <v>黑</v>
      </c>
      <c r="G56" s="14" t="str">
        <f ca="1">IF(OR(OR($A56="",$B56=""),AND($C56&lt;&gt;"",$D56&lt;&gt;"")),"",VLOOKUP(B56,IF({1,0},INDIRECT("达修波得!$"&amp;$E$1&amp;"$2:$"&amp;$E$1&amp;"$15"),达修波得!$A$2:$A$15),2,FALSE))</f>
        <v>七</v>
      </c>
      <c r="H56" s="14" t="str">
        <f t="shared" ca="1" si="0"/>
        <v>黑七</v>
      </c>
    </row>
    <row r="57" spans="1:8">
      <c r="A57" s="26" t="s">
        <v>24</v>
      </c>
      <c r="F57" s="14" t="str">
        <f ca="1">IF(OR(OR($A57="",$B57=""),AND($C57&lt;&gt;"",$D57&lt;&gt;"")),"",VLOOKUP(A57,IF({1,0},INDIRECT("达修波得!$"&amp;$E$1&amp;"$2:$"&amp;$E$1&amp;"$15"),达修波得!$A$2:$A$15),2,FALSE))</f>
        <v/>
      </c>
      <c r="G57" s="14" t="str">
        <f ca="1">IF(OR(OR($A57="",$B57=""),AND($C57&lt;&gt;"",$D57&lt;&gt;"")),"",VLOOKUP(B57,IF({1,0},INDIRECT("达修波得!$"&amp;$E$1&amp;"$2:$"&amp;$E$1&amp;"$15"),达修波得!$A$2:$A$15),2,FALSE))</f>
        <v/>
      </c>
      <c r="H57" s="14" t="str">
        <f t="shared" ca="1" si="0"/>
        <v/>
      </c>
    </row>
    <row r="58" spans="1:8">
      <c r="A58" s="18" t="s">
        <v>56</v>
      </c>
      <c r="B58" s="18" t="s">
        <v>59</v>
      </c>
      <c r="E58" s="16"/>
      <c r="F58" s="14" t="str">
        <f ca="1">IF(OR(OR($A58="",$B58=""),AND($C58&lt;&gt;"",$D58&lt;&gt;"")),"",VLOOKUP(A58,IF({1,0},INDIRECT("达修波得!$"&amp;$E$1&amp;"$2:$"&amp;$E$1&amp;"$15"),达修波得!$A$2:$A$15),2,FALSE))</f>
        <v>宇</v>
      </c>
      <c r="G58" s="14" t="str">
        <f ca="1">IF(OR(OR($A58="",$B58=""),AND($C58&lt;&gt;"",$D58&lt;&gt;"")),"",VLOOKUP(B58,IF({1,0},INDIRECT("达修波得!$"&amp;$E$1&amp;"$2:$"&amp;$E$1&amp;"$15"),达修波得!$A$2:$A$15),2,FALSE))</f>
        <v>二</v>
      </c>
      <c r="H58" s="14" t="str">
        <f t="shared" ca="1" si="0"/>
        <v>宇二</v>
      </c>
    </row>
    <row r="59" spans="1:8">
      <c r="A59" s="18" t="s">
        <v>64</v>
      </c>
      <c r="B59" s="18" t="s">
        <v>65</v>
      </c>
      <c r="E59" s="16"/>
      <c r="F59" s="14" t="str">
        <f ca="1">IF(OR(OR($A59="",$B59=""),AND($C59&lt;&gt;"",$D59&lt;&gt;"")),"",VLOOKUP(A59,IF({1,0},INDIRECT("达修波得!$"&amp;$E$1&amp;"$2:$"&amp;$E$1&amp;"$15"),达修波得!$A$2:$A$15),2,FALSE))</f>
        <v>贝</v>
      </c>
      <c r="G59" s="14" t="str">
        <f ca="1">IF(OR(OR($A59="",$B59=""),AND($C59&lt;&gt;"",$D59&lt;&gt;"")),"",VLOOKUP(B59,IF({1,0},INDIRECT("达修波得!$"&amp;$E$1&amp;"$2:$"&amp;$E$1&amp;"$15"),达修波得!$A$2:$A$15),2,FALSE))</f>
        <v>磊</v>
      </c>
      <c r="H59" s="14" t="str">
        <f t="shared" ca="1" si="0"/>
        <v>贝磊</v>
      </c>
    </row>
    <row r="60" spans="1:8">
      <c r="A60" s="18" t="s">
        <v>61</v>
      </c>
      <c r="B60" s="18" t="s">
        <v>70</v>
      </c>
      <c r="E60" s="16"/>
      <c r="F60" s="14" t="str">
        <f ca="1">IF(OR(OR($A60="",$B60=""),AND($C60&lt;&gt;"",$D60&lt;&gt;"")),"",VLOOKUP(A60,IF({1,0},INDIRECT("达修波得!$"&amp;$E$1&amp;"$2:$"&amp;$E$1&amp;"$15"),达修波得!$A$2:$A$15),2,FALSE))</f>
        <v>贝</v>
      </c>
      <c r="G60" s="14" t="str">
        <f ca="1">IF(OR(OR($A60="",$B60=""),AND($C60&lt;&gt;"",$D60&lt;&gt;"")),"",VLOOKUP(B60,IF({1,0},INDIRECT("达修波得!$"&amp;$E$1&amp;"$2:$"&amp;$E$1&amp;"$15"),达修波得!$A$2:$A$15),2,FALSE))</f>
        <v>宇</v>
      </c>
      <c r="H60" s="14" t="str">
        <f t="shared" ca="1" si="0"/>
        <v>贝宇</v>
      </c>
    </row>
    <row r="61" spans="1:8">
      <c r="A61" s="18" t="s">
        <v>67</v>
      </c>
      <c r="B61" s="18" t="s">
        <v>60</v>
      </c>
      <c r="E61" s="16"/>
      <c r="F61" s="14" t="str">
        <f ca="1">IF(OR(OR($A61="",$B61=""),AND($C61&lt;&gt;"",$D61&lt;&gt;"")),"",VLOOKUP(A61,IF({1,0},INDIRECT("达修波得!$"&amp;$E$1&amp;"$2:$"&amp;$E$1&amp;"$15"),达修波得!$A$2:$A$15),2,FALSE))</f>
        <v>磊</v>
      </c>
      <c r="G61" s="14" t="str">
        <f ca="1">IF(OR(OR($A61="",$B61=""),AND($C61&lt;&gt;"",$D61&lt;&gt;"")),"",VLOOKUP(B61,IF({1,0},INDIRECT("达修波得!$"&amp;$E$1&amp;"$2:$"&amp;$E$1&amp;"$15"),达修波得!$A$2:$A$15),2,FALSE))</f>
        <v>黑</v>
      </c>
      <c r="H61" s="14" t="str">
        <f t="shared" ca="1" si="0"/>
        <v>磊黑</v>
      </c>
    </row>
    <row r="62" spans="1:8">
      <c r="A62" s="18" t="s">
        <v>68</v>
      </c>
      <c r="B62" s="18" t="s">
        <v>69</v>
      </c>
      <c r="F62" s="14" t="str">
        <f ca="1">IF(OR(OR($A62="",$B62=""),AND($C62&lt;&gt;"",$D62&lt;&gt;"")),"",VLOOKUP(A62,IF({1,0},INDIRECT("达修波得!$"&amp;$E$1&amp;"$2:$"&amp;$E$1&amp;"$15"),达修波得!$A$2:$A$15),2,FALSE))</f>
        <v>二</v>
      </c>
      <c r="G62" s="14" t="str">
        <f ca="1">IF(OR(OR($A62="",$B62=""),AND($C62&lt;&gt;"",$D62&lt;&gt;"")),"",VLOOKUP(B62,IF({1,0},INDIRECT("达修波得!$"&amp;$E$1&amp;"$2:$"&amp;$E$1&amp;"$15"),达修波得!$A$2:$A$15),2,FALSE))</f>
        <v>爷</v>
      </c>
      <c r="H62" s="14" t="str">
        <f t="shared" ca="1" si="0"/>
        <v>二爷</v>
      </c>
    </row>
    <row r="63" spans="1:8">
      <c r="A63" s="18" t="s">
        <v>66</v>
      </c>
      <c r="B63" s="18" t="s">
        <v>62</v>
      </c>
      <c r="F63" s="14" t="str">
        <f ca="1">IF(OR(OR($A63="",$B63=""),AND($C63&lt;&gt;"",$D63&lt;&gt;"")),"",VLOOKUP(A63,IF({1,0},INDIRECT("达修波得!$"&amp;$E$1&amp;"$2:$"&amp;$E$1&amp;"$15"),达修波得!$A$2:$A$15),2,FALSE))</f>
        <v>七</v>
      </c>
      <c r="G63" s="14" t="str">
        <f ca="1">IF(OR(OR($A63="",$B63=""),AND($C63&lt;&gt;"",$D63&lt;&gt;"")),"",VLOOKUP(B63,IF({1,0},INDIRECT("达修波得!$"&amp;$E$1&amp;"$2:$"&amp;$E$1&amp;"$15"),达修波得!$A$2:$A$15),2,FALSE))</f>
        <v>七</v>
      </c>
      <c r="H63" s="14" t="str">
        <f t="shared" ca="1" si="0"/>
        <v>七七</v>
      </c>
    </row>
    <row r="64" spans="1:8">
      <c r="A64" s="18" t="s">
        <v>58</v>
      </c>
      <c r="B64" s="18" t="s">
        <v>57</v>
      </c>
      <c r="F64" s="14" t="str">
        <f ca="1">IF(OR(OR($A64="",$B64=""),AND($C64&lt;&gt;"",$D64&lt;&gt;"")),"",VLOOKUP(A64,IF({1,0},INDIRECT("达修波得!$"&amp;$E$1&amp;"$2:$"&amp;$E$1&amp;"$15"),达修波得!$A$2:$A$15),2,FALSE))</f>
        <v>爷</v>
      </c>
      <c r="G64" s="14" t="str">
        <f ca="1">IF(OR(OR($A64="",$B64=""),AND($C64&lt;&gt;"",$D64&lt;&gt;"")),"",VLOOKUP(B64,IF({1,0},INDIRECT("达修波得!$"&amp;$E$1&amp;"$2:$"&amp;$E$1&amp;"$15"),达修波得!$A$2:$A$15),2,FALSE))</f>
        <v>黑</v>
      </c>
      <c r="H64" s="14" t="str">
        <f t="shared" ca="1" si="0"/>
        <v>爷黑</v>
      </c>
    </row>
    <row r="65" spans="1:8">
      <c r="A65" s="26" t="s">
        <v>25</v>
      </c>
      <c r="F65" s="14" t="str">
        <f ca="1">IF(OR(OR($A65="",$B65=""),AND($C65&lt;&gt;"",$D65&lt;&gt;"")),"",VLOOKUP(A65,IF({1,0},INDIRECT("达修波得!$"&amp;$E$1&amp;"$2:$"&amp;$E$1&amp;"$15"),达修波得!$A$2:$A$15),2,FALSE))</f>
        <v/>
      </c>
      <c r="G65" s="14" t="str">
        <f ca="1">IF(OR(OR($A65="",$B65=""),AND($C65&lt;&gt;"",$D65&lt;&gt;"")),"",VLOOKUP(B65,IF({1,0},INDIRECT("达修波得!$"&amp;$E$1&amp;"$2:$"&amp;$E$1&amp;"$15"),达修波得!$A$2:$A$15),2,FALSE))</f>
        <v/>
      </c>
      <c r="H65" s="14" t="str">
        <f t="shared" ca="1" si="0"/>
        <v/>
      </c>
    </row>
    <row r="66" spans="1:8">
      <c r="A66" s="18" t="s">
        <v>56</v>
      </c>
      <c r="B66" s="18" t="s">
        <v>65</v>
      </c>
      <c r="F66" s="14" t="str">
        <f ca="1">IF(OR(OR($A66="",$B66=""),AND($C66&lt;&gt;"",$D66&lt;&gt;"")),"",VLOOKUP(A66,IF({1,0},INDIRECT("达修波得!$"&amp;$E$1&amp;"$2:$"&amp;$E$1&amp;"$15"),达修波得!$A$2:$A$15),2,FALSE))</f>
        <v>宇</v>
      </c>
      <c r="G66" s="14" t="str">
        <f ca="1">IF(OR(OR($A66="",$B66=""),AND($C66&lt;&gt;"",$D66&lt;&gt;"")),"",VLOOKUP(B66,IF({1,0},INDIRECT("达修波得!$"&amp;$E$1&amp;"$2:$"&amp;$E$1&amp;"$15"),达修波得!$A$2:$A$15),2,FALSE))</f>
        <v>磊</v>
      </c>
      <c r="H66" s="14" t="str">
        <f t="shared" ca="1" si="0"/>
        <v>宇磊</v>
      </c>
    </row>
    <row r="67" spans="1:8">
      <c r="A67" s="18" t="s">
        <v>59</v>
      </c>
      <c r="B67" s="18" t="s">
        <v>70</v>
      </c>
      <c r="F67" s="14" t="str">
        <f ca="1">IF(OR(OR($A67="",$B67=""),AND($C67&lt;&gt;"",$D67&lt;&gt;"")),"",VLOOKUP(A67,IF({1,0},INDIRECT("达修波得!$"&amp;$E$1&amp;"$2:$"&amp;$E$1&amp;"$15"),达修波得!$A$2:$A$15),2,FALSE))</f>
        <v>二</v>
      </c>
      <c r="G67" s="14" t="str">
        <f ca="1">IF(OR(OR($A67="",$B67=""),AND($C67&lt;&gt;"",$D67&lt;&gt;"")),"",VLOOKUP(B67,IF({1,0},INDIRECT("达修波得!$"&amp;$E$1&amp;"$2:$"&amp;$E$1&amp;"$15"),达修波得!$A$2:$A$15),2,FALSE))</f>
        <v>宇</v>
      </c>
      <c r="H67" s="14" t="str">
        <f t="shared" ref="H67:H72" ca="1" si="1">F67&amp;G67</f>
        <v>二宇</v>
      </c>
    </row>
    <row r="68" spans="1:8">
      <c r="A68" s="18" t="s">
        <v>64</v>
      </c>
      <c r="B68" s="18" t="s">
        <v>60</v>
      </c>
      <c r="F68" s="14" t="str">
        <f ca="1">IF(OR(OR($A68="",$B68=""),AND($C68&lt;&gt;"",$D68&lt;&gt;"")),"",VLOOKUP(A68,IF({1,0},INDIRECT("达修波得!$"&amp;$E$1&amp;"$2:$"&amp;$E$1&amp;"$15"),达修波得!$A$2:$A$15),2,FALSE))</f>
        <v>贝</v>
      </c>
      <c r="G68" s="14" t="str">
        <f ca="1">IF(OR(OR($A68="",$B68=""),AND($C68&lt;&gt;"",$D68&lt;&gt;"")),"",VLOOKUP(B68,IF({1,0},INDIRECT("达修波得!$"&amp;$E$1&amp;"$2:$"&amp;$E$1&amp;"$15"),达修波得!$A$2:$A$15),2,FALSE))</f>
        <v>黑</v>
      </c>
      <c r="H68" s="14" t="str">
        <f t="shared" ca="1" si="1"/>
        <v>贝黑</v>
      </c>
    </row>
    <row r="69" spans="1:8">
      <c r="A69" s="18" t="s">
        <v>61</v>
      </c>
      <c r="B69" s="18" t="s">
        <v>69</v>
      </c>
      <c r="F69" s="14" t="str">
        <f ca="1">IF(OR(OR($A69="",$B69=""),AND($C69&lt;&gt;"",$D69&lt;&gt;"")),"",VLOOKUP(A69,IF({1,0},INDIRECT("达修波得!$"&amp;$E$1&amp;"$2:$"&amp;$E$1&amp;"$15"),达修波得!$A$2:$A$15),2,FALSE))</f>
        <v>贝</v>
      </c>
      <c r="G69" s="14" t="str">
        <f ca="1">IF(OR(OR($A69="",$B69=""),AND($C69&lt;&gt;"",$D69&lt;&gt;"")),"",VLOOKUP(B69,IF({1,0},INDIRECT("达修波得!$"&amp;$E$1&amp;"$2:$"&amp;$E$1&amp;"$15"),达修波得!$A$2:$A$15),2,FALSE))</f>
        <v>爷</v>
      </c>
      <c r="H69" s="14" t="str">
        <f t="shared" ca="1" si="1"/>
        <v>贝爷</v>
      </c>
    </row>
    <row r="70" spans="1:8">
      <c r="A70" s="18" t="s">
        <v>67</v>
      </c>
      <c r="B70" s="18" t="s">
        <v>62</v>
      </c>
      <c r="F70" s="14" t="str">
        <f ca="1">IF(OR(OR($A70="",$B70=""),AND($C70&lt;&gt;"",$D70&lt;&gt;"")),"",VLOOKUP(A70,IF({1,0},INDIRECT("达修波得!$"&amp;$E$1&amp;"$2:$"&amp;$E$1&amp;"$15"),达修波得!$A$2:$A$15),2,FALSE))</f>
        <v>磊</v>
      </c>
      <c r="G70" s="14" t="str">
        <f ca="1">IF(OR(OR($A70="",$B70=""),AND($C70&lt;&gt;"",$D70&lt;&gt;"")),"",VLOOKUP(B70,IF({1,0},INDIRECT("达修波得!$"&amp;$E$1&amp;"$2:$"&amp;$E$1&amp;"$15"),达修波得!$A$2:$A$15),2,FALSE))</f>
        <v>七</v>
      </c>
      <c r="H70" s="14" t="str">
        <f t="shared" ca="1" si="1"/>
        <v>磊七</v>
      </c>
    </row>
    <row r="71" spans="1:8">
      <c r="A71" s="18" t="s">
        <v>68</v>
      </c>
      <c r="B71" s="18" t="s">
        <v>57</v>
      </c>
      <c r="F71" s="14" t="str">
        <f ca="1">IF(OR(OR($A71="",$B71=""),AND($C71&lt;&gt;"",$D71&lt;&gt;"")),"",VLOOKUP(A71,IF({1,0},INDIRECT("达修波得!$"&amp;$E$1&amp;"$2:$"&amp;$E$1&amp;"$15"),达修波得!$A$2:$A$15),2,FALSE))</f>
        <v>二</v>
      </c>
      <c r="G71" s="14" t="str">
        <f ca="1">IF(OR(OR($A71="",$B71=""),AND($C71&lt;&gt;"",$D71&lt;&gt;"")),"",VLOOKUP(B71,IF({1,0},INDIRECT("达修波得!$"&amp;$E$1&amp;"$2:$"&amp;$E$1&amp;"$15"),达修波得!$A$2:$A$15),2,FALSE))</f>
        <v>黑</v>
      </c>
      <c r="H71" s="14" t="str">
        <f t="shared" ca="1" si="1"/>
        <v>二黑</v>
      </c>
    </row>
    <row r="72" spans="1:8">
      <c r="A72" s="18" t="s">
        <v>66</v>
      </c>
      <c r="B72" s="18" t="s">
        <v>58</v>
      </c>
      <c r="F72" s="14" t="str">
        <f ca="1">IF(OR(OR($A72="",$B72=""),AND($C72&lt;&gt;"",$D72&lt;&gt;"")),"",VLOOKUP(A72,IF({1,0},INDIRECT("达修波得!$"&amp;$E$1&amp;"$2:$"&amp;$E$1&amp;"$15"),达修波得!$A$2:$A$15),2,FALSE))</f>
        <v>七</v>
      </c>
      <c r="G72" s="14" t="str">
        <f ca="1">IF(OR(OR($A72="",$B72=""),AND($C72&lt;&gt;"",$D72&lt;&gt;"")),"",VLOOKUP(B72,IF({1,0},INDIRECT("达修波得!$"&amp;$E$1&amp;"$2:$"&amp;$E$1&amp;"$15"),达修波得!$A$2:$A$15),2,FALSE))</f>
        <v>爷</v>
      </c>
      <c r="H72" s="14" t="str">
        <f t="shared" ca="1" si="1"/>
        <v>七爷</v>
      </c>
    </row>
    <row r="73" spans="1:8">
      <c r="A73" s="26" t="s">
        <v>26</v>
      </c>
      <c r="F73" s="14" t="str">
        <f ca="1">IF(OR(OR($A73="",$B73=""),AND($C73&lt;&gt;"",$D73&lt;&gt;"")),"",VLOOKUP(A73,IF({1,0},INDIRECT("达修波得!$"&amp;$E$1&amp;"$2:$"&amp;$E$1&amp;"$15"),达修波得!$A$2:$A$15),2,FALSE))</f>
        <v/>
      </c>
      <c r="G73" s="14" t="str">
        <f ca="1">IF(OR(OR($A73="",$B73=""),AND($C73&lt;&gt;"",$D73&lt;&gt;"")),"",VLOOKUP(B73,IF({1,0},INDIRECT("达修波得!$"&amp;$E$1&amp;"$2:$"&amp;$E$1&amp;"$15"),达修波得!$A$2:$A$15),2,FALSE))</f>
        <v/>
      </c>
      <c r="H73" s="14" t="str">
        <f t="shared" ref="H73:H136" ca="1" si="2">F73&amp;G73</f>
        <v/>
      </c>
    </row>
    <row r="74" spans="1:8">
      <c r="A74" s="18" t="s">
        <v>56</v>
      </c>
      <c r="B74" s="18" t="s">
        <v>70</v>
      </c>
      <c r="F74" s="14" t="str">
        <f ca="1">IF(OR(OR($A74="",$B74=""),AND($C74&lt;&gt;"",$D74&lt;&gt;"")),"",VLOOKUP(A74,IF({1,0},INDIRECT("达修波得!$"&amp;$E$1&amp;"$2:$"&amp;$E$1&amp;"$15"),达修波得!$A$2:$A$15),2,FALSE))</f>
        <v>宇</v>
      </c>
      <c r="G74" s="14" t="str">
        <f ca="1">IF(OR(OR($A74="",$B74=""),AND($C74&lt;&gt;"",$D74&lt;&gt;"")),"",VLOOKUP(B74,IF({1,0},INDIRECT("达修波得!$"&amp;$E$1&amp;"$2:$"&amp;$E$1&amp;"$15"),达修波得!$A$2:$A$15),2,FALSE))</f>
        <v>宇</v>
      </c>
      <c r="H74" s="14" t="str">
        <f t="shared" ca="1" si="2"/>
        <v>宇宇</v>
      </c>
    </row>
    <row r="75" spans="1:8">
      <c r="A75" s="18" t="s">
        <v>65</v>
      </c>
      <c r="B75" s="18" t="s">
        <v>60</v>
      </c>
      <c r="F75" s="14" t="str">
        <f ca="1">IF(OR(OR($A75="",$B75=""),AND($C75&lt;&gt;"",$D75&lt;&gt;"")),"",VLOOKUP(A75,IF({1,0},INDIRECT("达修波得!$"&amp;$E$1&amp;"$2:$"&amp;$E$1&amp;"$15"),达修波得!$A$2:$A$15),2,FALSE))</f>
        <v>磊</v>
      </c>
      <c r="G75" s="14" t="str">
        <f ca="1">IF(OR(OR($A75="",$B75=""),AND($C75&lt;&gt;"",$D75&lt;&gt;"")),"",VLOOKUP(B75,IF({1,0},INDIRECT("达修波得!$"&amp;$E$1&amp;"$2:$"&amp;$E$1&amp;"$15"),达修波得!$A$2:$A$15),2,FALSE))</f>
        <v>黑</v>
      </c>
      <c r="H75" s="14" t="str">
        <f t="shared" ca="1" si="2"/>
        <v>磊黑</v>
      </c>
    </row>
    <row r="76" spans="1:8">
      <c r="A76" s="18" t="s">
        <v>59</v>
      </c>
      <c r="B76" s="18" t="s">
        <v>69</v>
      </c>
      <c r="F76" s="14" t="str">
        <f ca="1">IF(OR(OR($A76="",$B76=""),AND($C76&lt;&gt;"",$D76&lt;&gt;"")),"",VLOOKUP(A76,IF({1,0},INDIRECT("达修波得!$"&amp;$E$1&amp;"$2:$"&amp;$E$1&amp;"$15"),达修波得!$A$2:$A$15),2,FALSE))</f>
        <v>二</v>
      </c>
      <c r="G76" s="14" t="str">
        <f ca="1">IF(OR(OR($A76="",$B76=""),AND($C76&lt;&gt;"",$D76&lt;&gt;"")),"",VLOOKUP(B76,IF({1,0},INDIRECT("达修波得!$"&amp;$E$1&amp;"$2:$"&amp;$E$1&amp;"$15"),达修波得!$A$2:$A$15),2,FALSE))</f>
        <v>爷</v>
      </c>
      <c r="H76" s="14" t="str">
        <f t="shared" ca="1" si="2"/>
        <v>二爷</v>
      </c>
    </row>
    <row r="77" spans="1:8">
      <c r="A77" s="18" t="s">
        <v>64</v>
      </c>
      <c r="B77" s="18" t="s">
        <v>62</v>
      </c>
      <c r="F77" s="14" t="str">
        <f ca="1">IF(OR(OR($A77="",$B77=""),AND($C77&lt;&gt;"",$D77&lt;&gt;"")),"",VLOOKUP(A77,IF({1,0},INDIRECT("达修波得!$"&amp;$E$1&amp;"$2:$"&amp;$E$1&amp;"$15"),达修波得!$A$2:$A$15),2,FALSE))</f>
        <v>贝</v>
      </c>
      <c r="G77" s="14" t="str">
        <f ca="1">IF(OR(OR($A77="",$B77=""),AND($C77&lt;&gt;"",$D77&lt;&gt;"")),"",VLOOKUP(B77,IF({1,0},INDIRECT("达修波得!$"&amp;$E$1&amp;"$2:$"&amp;$E$1&amp;"$15"),达修波得!$A$2:$A$15),2,FALSE))</f>
        <v>七</v>
      </c>
      <c r="H77" s="14" t="str">
        <f t="shared" ca="1" si="2"/>
        <v>贝七</v>
      </c>
    </row>
    <row r="78" spans="1:8">
      <c r="A78" s="18" t="s">
        <v>61</v>
      </c>
      <c r="B78" s="18" t="s">
        <v>57</v>
      </c>
      <c r="F78" s="14" t="str">
        <f ca="1">IF(OR(OR($A78="",$B78=""),AND($C78&lt;&gt;"",$D78&lt;&gt;"")),"",VLOOKUP(A78,IF({1,0},INDIRECT("达修波得!$"&amp;$E$1&amp;"$2:$"&amp;$E$1&amp;"$15"),达修波得!$A$2:$A$15),2,FALSE))</f>
        <v>贝</v>
      </c>
      <c r="G78" s="14" t="str">
        <f ca="1">IF(OR(OR($A78="",$B78=""),AND($C78&lt;&gt;"",$D78&lt;&gt;"")),"",VLOOKUP(B78,IF({1,0},INDIRECT("达修波得!$"&amp;$E$1&amp;"$2:$"&amp;$E$1&amp;"$15"),达修波得!$A$2:$A$15),2,FALSE))</f>
        <v>黑</v>
      </c>
      <c r="H78" s="14" t="str">
        <f t="shared" ca="1" si="2"/>
        <v>贝黑</v>
      </c>
    </row>
    <row r="79" spans="1:8">
      <c r="A79" s="18" t="s">
        <v>67</v>
      </c>
      <c r="B79" s="18" t="s">
        <v>58</v>
      </c>
      <c r="F79" s="14" t="str">
        <f ca="1">IF(OR(OR($A79="",$B79=""),AND($C79&lt;&gt;"",$D79&lt;&gt;"")),"",VLOOKUP(A79,IF({1,0},INDIRECT("达修波得!$"&amp;$E$1&amp;"$2:$"&amp;$E$1&amp;"$15"),达修波得!$A$2:$A$15),2,FALSE))</f>
        <v>磊</v>
      </c>
      <c r="G79" s="14" t="str">
        <f ca="1">IF(OR(OR($A79="",$B79=""),AND($C79&lt;&gt;"",$D79&lt;&gt;"")),"",VLOOKUP(B79,IF({1,0},INDIRECT("达修波得!$"&amp;$E$1&amp;"$2:$"&amp;$E$1&amp;"$15"),达修波得!$A$2:$A$15),2,FALSE))</f>
        <v>爷</v>
      </c>
      <c r="H79" s="14" t="str">
        <f t="shared" ca="1" si="2"/>
        <v>磊爷</v>
      </c>
    </row>
    <row r="80" spans="1:8">
      <c r="A80" s="18" t="s">
        <v>68</v>
      </c>
      <c r="B80" s="18" t="s">
        <v>66</v>
      </c>
      <c r="F80" s="14" t="str">
        <f ca="1">IF(OR(OR($A80="",$B80=""),AND($C80&lt;&gt;"",$D80&lt;&gt;"")),"",VLOOKUP(A80,IF({1,0},INDIRECT("达修波得!$"&amp;$E$1&amp;"$2:$"&amp;$E$1&amp;"$15"),达修波得!$A$2:$A$15),2,FALSE))</f>
        <v>二</v>
      </c>
      <c r="G80" s="14" t="str">
        <f ca="1">IF(OR(OR($A80="",$B80=""),AND($C80&lt;&gt;"",$D80&lt;&gt;"")),"",VLOOKUP(B80,IF({1,0},INDIRECT("达修波得!$"&amp;$E$1&amp;"$2:$"&amp;$E$1&amp;"$15"),达修波得!$A$2:$A$15),2,FALSE))</f>
        <v>七</v>
      </c>
      <c r="H80" s="14" t="str">
        <f t="shared" ca="1" si="2"/>
        <v>二七</v>
      </c>
    </row>
    <row r="81" spans="1:8">
      <c r="A81" s="26" t="s">
        <v>27</v>
      </c>
      <c r="F81" s="14" t="str">
        <f ca="1">IF(OR(OR($A81="",$B81=""),AND($C81&lt;&gt;"",$D81&lt;&gt;"")),"",VLOOKUP(A81,IF({1,0},INDIRECT("达修波得!$"&amp;$E$1&amp;"$2:$"&amp;$E$1&amp;"$15"),达修波得!$A$2:$A$15),2,FALSE))</f>
        <v/>
      </c>
      <c r="G81" s="14" t="str">
        <f ca="1">IF(OR(OR($A81="",$B81=""),AND($C81&lt;&gt;"",$D81&lt;&gt;"")),"",VLOOKUP(B81,IF({1,0},INDIRECT("达修波得!$"&amp;$E$1&amp;"$2:$"&amp;$E$1&amp;"$15"),达修波得!$A$2:$A$15),2,FALSE))</f>
        <v/>
      </c>
      <c r="H81" s="14" t="str">
        <f t="shared" ca="1" si="2"/>
        <v/>
      </c>
    </row>
    <row r="82" spans="1:8">
      <c r="A82" s="18" t="s">
        <v>56</v>
      </c>
      <c r="B82" s="18" t="s">
        <v>60</v>
      </c>
      <c r="F82" s="14" t="str">
        <f ca="1">IF(OR(OR($A82="",$B82=""),AND($C82&lt;&gt;"",$D82&lt;&gt;"")),"",VLOOKUP(A82,IF({1,0},INDIRECT("达修波得!$"&amp;$E$1&amp;"$2:$"&amp;$E$1&amp;"$15"),达修波得!$A$2:$A$15),2,FALSE))</f>
        <v>宇</v>
      </c>
      <c r="G82" s="14" t="str">
        <f ca="1">IF(OR(OR($A82="",$B82=""),AND($C82&lt;&gt;"",$D82&lt;&gt;"")),"",VLOOKUP(B82,IF({1,0},INDIRECT("达修波得!$"&amp;$E$1&amp;"$2:$"&amp;$E$1&amp;"$15"),达修波得!$A$2:$A$15),2,FALSE))</f>
        <v>黑</v>
      </c>
      <c r="H82" s="14" t="str">
        <f t="shared" ca="1" si="2"/>
        <v>宇黑</v>
      </c>
    </row>
    <row r="83" spans="1:8">
      <c r="A83" s="18" t="s">
        <v>70</v>
      </c>
      <c r="B83" s="18" t="s">
        <v>69</v>
      </c>
      <c r="F83" s="14" t="str">
        <f ca="1">IF(OR(OR($A83="",$B83=""),AND($C83&lt;&gt;"",$D83&lt;&gt;"")),"",VLOOKUP(A83,IF({1,0},INDIRECT("达修波得!$"&amp;$E$1&amp;"$2:$"&amp;$E$1&amp;"$15"),达修波得!$A$2:$A$15),2,FALSE))</f>
        <v>宇</v>
      </c>
      <c r="G83" s="14" t="str">
        <f ca="1">IF(OR(OR($A83="",$B83=""),AND($C83&lt;&gt;"",$D83&lt;&gt;"")),"",VLOOKUP(B83,IF({1,0},INDIRECT("达修波得!$"&amp;$E$1&amp;"$2:$"&amp;$E$1&amp;"$15"),达修波得!$A$2:$A$15),2,FALSE))</f>
        <v>爷</v>
      </c>
      <c r="H83" s="14" t="str">
        <f t="shared" ca="1" si="2"/>
        <v>宇爷</v>
      </c>
    </row>
    <row r="84" spans="1:8">
      <c r="A84" s="18" t="s">
        <v>65</v>
      </c>
      <c r="B84" s="18" t="s">
        <v>62</v>
      </c>
      <c r="F84" s="14" t="str">
        <f ca="1">IF(OR(OR($A84="",$B84=""),AND($C84&lt;&gt;"",$D84&lt;&gt;"")),"",VLOOKUP(A84,IF({1,0},INDIRECT("达修波得!$"&amp;$E$1&amp;"$2:$"&amp;$E$1&amp;"$15"),达修波得!$A$2:$A$15),2,FALSE))</f>
        <v>磊</v>
      </c>
      <c r="G84" s="14" t="str">
        <f ca="1">IF(OR(OR($A84="",$B84=""),AND($C84&lt;&gt;"",$D84&lt;&gt;"")),"",VLOOKUP(B84,IF({1,0},INDIRECT("达修波得!$"&amp;$E$1&amp;"$2:$"&amp;$E$1&amp;"$15"),达修波得!$A$2:$A$15),2,FALSE))</f>
        <v>七</v>
      </c>
      <c r="H84" s="14" t="str">
        <f t="shared" ca="1" si="2"/>
        <v>磊七</v>
      </c>
    </row>
    <row r="85" spans="1:8">
      <c r="A85" s="18" t="s">
        <v>59</v>
      </c>
      <c r="B85" s="18" t="s">
        <v>57</v>
      </c>
      <c r="F85" s="14" t="str">
        <f ca="1">IF(OR(OR($A85="",$B85=""),AND($C85&lt;&gt;"",$D85&lt;&gt;"")),"",VLOOKUP(A85,IF({1,0},INDIRECT("达修波得!$"&amp;$E$1&amp;"$2:$"&amp;$E$1&amp;"$15"),达修波得!$A$2:$A$15),2,FALSE))</f>
        <v>二</v>
      </c>
      <c r="G85" s="14" t="str">
        <f ca="1">IF(OR(OR($A85="",$B85=""),AND($C85&lt;&gt;"",$D85&lt;&gt;"")),"",VLOOKUP(B85,IF({1,0},INDIRECT("达修波得!$"&amp;$E$1&amp;"$2:$"&amp;$E$1&amp;"$15"),达修波得!$A$2:$A$15),2,FALSE))</f>
        <v>黑</v>
      </c>
      <c r="H85" s="14" t="str">
        <f t="shared" ca="1" si="2"/>
        <v>二黑</v>
      </c>
    </row>
    <row r="86" spans="1:8">
      <c r="A86" s="18" t="s">
        <v>64</v>
      </c>
      <c r="B86" s="18" t="s">
        <v>58</v>
      </c>
      <c r="F86" s="14" t="str">
        <f ca="1">IF(OR(OR($A86="",$B86=""),AND($C86&lt;&gt;"",$D86&lt;&gt;"")),"",VLOOKUP(A86,IF({1,0},INDIRECT("达修波得!$"&amp;$E$1&amp;"$2:$"&amp;$E$1&amp;"$15"),达修波得!$A$2:$A$15),2,FALSE))</f>
        <v>贝</v>
      </c>
      <c r="G86" s="14" t="str">
        <f ca="1">IF(OR(OR($A86="",$B86=""),AND($C86&lt;&gt;"",$D86&lt;&gt;"")),"",VLOOKUP(B86,IF({1,0},INDIRECT("达修波得!$"&amp;$E$1&amp;"$2:$"&amp;$E$1&amp;"$15"),达修波得!$A$2:$A$15),2,FALSE))</f>
        <v>爷</v>
      </c>
      <c r="H86" s="14" t="str">
        <f t="shared" ca="1" si="2"/>
        <v>贝爷</v>
      </c>
    </row>
    <row r="87" spans="1:8">
      <c r="A87" s="18" t="s">
        <v>61</v>
      </c>
      <c r="B87" s="18" t="s">
        <v>66</v>
      </c>
      <c r="F87" s="14" t="str">
        <f ca="1">IF(OR(OR($A87="",$B87=""),AND($C87&lt;&gt;"",$D87&lt;&gt;"")),"",VLOOKUP(A87,IF({1,0},INDIRECT("达修波得!$"&amp;$E$1&amp;"$2:$"&amp;$E$1&amp;"$15"),达修波得!$A$2:$A$15),2,FALSE))</f>
        <v>贝</v>
      </c>
      <c r="G87" s="14" t="str">
        <f ca="1">IF(OR(OR($A87="",$B87=""),AND($C87&lt;&gt;"",$D87&lt;&gt;"")),"",VLOOKUP(B87,IF({1,0},INDIRECT("达修波得!$"&amp;$E$1&amp;"$2:$"&amp;$E$1&amp;"$15"),达修波得!$A$2:$A$15),2,FALSE))</f>
        <v>七</v>
      </c>
      <c r="H87" s="14" t="str">
        <f t="shared" ca="1" si="2"/>
        <v>贝七</v>
      </c>
    </row>
    <row r="88" spans="1:8">
      <c r="A88" s="18" t="s">
        <v>67</v>
      </c>
      <c r="B88" s="18" t="s">
        <v>68</v>
      </c>
      <c r="F88" s="14" t="str">
        <f ca="1">IF(OR(OR($A88="",$B88=""),AND($C88&lt;&gt;"",$D88&lt;&gt;"")),"",VLOOKUP(A88,IF({1,0},INDIRECT("达修波得!$"&amp;$E$1&amp;"$2:$"&amp;$E$1&amp;"$15"),达修波得!$A$2:$A$15),2,FALSE))</f>
        <v>磊</v>
      </c>
      <c r="G88" s="14" t="str">
        <f ca="1">IF(OR(OR($A88="",$B88=""),AND($C88&lt;&gt;"",$D88&lt;&gt;"")),"",VLOOKUP(B88,IF({1,0},INDIRECT("达修波得!$"&amp;$E$1&amp;"$2:$"&amp;$E$1&amp;"$15"),达修波得!$A$2:$A$15),2,FALSE))</f>
        <v>二</v>
      </c>
      <c r="H88" s="14" t="str">
        <f t="shared" ca="1" si="2"/>
        <v>磊二</v>
      </c>
    </row>
    <row r="89" spans="1:8">
      <c r="A89" s="26" t="s">
        <v>28</v>
      </c>
      <c r="F89" s="14" t="str">
        <f ca="1">IF(OR(OR($A89="",$B89=""),AND($C89&lt;&gt;"",$D89&lt;&gt;"")),"",VLOOKUP(A89,IF({1,0},INDIRECT("达修波得!$"&amp;$E$1&amp;"$2:$"&amp;$E$1&amp;"$15"),达修波得!$A$2:$A$15),2,FALSE))</f>
        <v/>
      </c>
      <c r="G89" s="14" t="str">
        <f ca="1">IF(OR(OR($A89="",$B89=""),AND($C89&lt;&gt;"",$D89&lt;&gt;"")),"",VLOOKUP(B89,IF({1,0},INDIRECT("达修波得!$"&amp;$E$1&amp;"$2:$"&amp;$E$1&amp;"$15"),达修波得!$A$2:$A$15),2,FALSE))</f>
        <v/>
      </c>
      <c r="H89" s="14" t="str">
        <f t="shared" ca="1" si="2"/>
        <v/>
      </c>
    </row>
    <row r="90" spans="1:8">
      <c r="A90" s="18" t="s">
        <v>56</v>
      </c>
      <c r="B90" s="18" t="s">
        <v>69</v>
      </c>
      <c r="F90" s="14" t="str">
        <f ca="1">IF(OR(OR($A90="",$B90=""),AND($C90&lt;&gt;"",$D90&lt;&gt;"")),"",VLOOKUP(A90,IF({1,0},INDIRECT("达修波得!$"&amp;$E$1&amp;"$2:$"&amp;$E$1&amp;"$15"),达修波得!$A$2:$A$15),2,FALSE))</f>
        <v>宇</v>
      </c>
      <c r="G90" s="14" t="str">
        <f ca="1">IF(OR(OR($A90="",$B90=""),AND($C90&lt;&gt;"",$D90&lt;&gt;"")),"",VLOOKUP(B90,IF({1,0},INDIRECT("达修波得!$"&amp;$E$1&amp;"$2:$"&amp;$E$1&amp;"$15"),达修波得!$A$2:$A$15),2,FALSE))</f>
        <v>爷</v>
      </c>
      <c r="H90" s="14" t="str">
        <f t="shared" ca="1" si="2"/>
        <v>宇爷</v>
      </c>
    </row>
    <row r="91" spans="1:8">
      <c r="A91" s="18" t="s">
        <v>60</v>
      </c>
      <c r="B91" s="18" t="s">
        <v>62</v>
      </c>
      <c r="F91" s="14" t="str">
        <f ca="1">IF(OR(OR($A91="",$B91=""),AND($C91&lt;&gt;"",$D91&lt;&gt;"")),"",VLOOKUP(A91,IF({1,0},INDIRECT("达修波得!$"&amp;$E$1&amp;"$2:$"&amp;$E$1&amp;"$15"),达修波得!$A$2:$A$15),2,FALSE))</f>
        <v>黑</v>
      </c>
      <c r="G91" s="14" t="str">
        <f ca="1">IF(OR(OR($A91="",$B91=""),AND($C91&lt;&gt;"",$D91&lt;&gt;"")),"",VLOOKUP(B91,IF({1,0},INDIRECT("达修波得!$"&amp;$E$1&amp;"$2:$"&amp;$E$1&amp;"$15"),达修波得!$A$2:$A$15),2,FALSE))</f>
        <v>七</v>
      </c>
      <c r="H91" s="14" t="str">
        <f t="shared" ca="1" si="2"/>
        <v>黑七</v>
      </c>
    </row>
    <row r="92" spans="1:8">
      <c r="A92" s="18" t="s">
        <v>70</v>
      </c>
      <c r="B92" s="18" t="s">
        <v>57</v>
      </c>
      <c r="F92" s="14" t="str">
        <f ca="1">IF(OR(OR($A92="",$B92=""),AND($C92&lt;&gt;"",$D92&lt;&gt;"")),"",VLOOKUP(A92,IF({1,0},INDIRECT("达修波得!$"&amp;$E$1&amp;"$2:$"&amp;$E$1&amp;"$15"),达修波得!$A$2:$A$15),2,FALSE))</f>
        <v>宇</v>
      </c>
      <c r="G92" s="14" t="str">
        <f ca="1">IF(OR(OR($A92="",$B92=""),AND($C92&lt;&gt;"",$D92&lt;&gt;"")),"",VLOOKUP(B92,IF({1,0},INDIRECT("达修波得!$"&amp;$E$1&amp;"$2:$"&amp;$E$1&amp;"$15"),达修波得!$A$2:$A$15),2,FALSE))</f>
        <v>黑</v>
      </c>
      <c r="H92" s="14" t="str">
        <f t="shared" ca="1" si="2"/>
        <v>宇黑</v>
      </c>
    </row>
    <row r="93" spans="1:8">
      <c r="A93" s="18" t="s">
        <v>65</v>
      </c>
      <c r="B93" s="18" t="s">
        <v>58</v>
      </c>
      <c r="F93" s="14" t="str">
        <f ca="1">IF(OR(OR($A93="",$B93=""),AND($C93&lt;&gt;"",$D93&lt;&gt;"")),"",VLOOKUP(A93,IF({1,0},INDIRECT("达修波得!$"&amp;$E$1&amp;"$2:$"&amp;$E$1&amp;"$15"),达修波得!$A$2:$A$15),2,FALSE))</f>
        <v>磊</v>
      </c>
      <c r="G93" s="14" t="str">
        <f ca="1">IF(OR(OR($A93="",$B93=""),AND($C93&lt;&gt;"",$D93&lt;&gt;"")),"",VLOOKUP(B93,IF({1,0},INDIRECT("达修波得!$"&amp;$E$1&amp;"$2:$"&amp;$E$1&amp;"$15"),达修波得!$A$2:$A$15),2,FALSE))</f>
        <v>爷</v>
      </c>
      <c r="H93" s="14" t="str">
        <f t="shared" ca="1" si="2"/>
        <v>磊爷</v>
      </c>
    </row>
    <row r="94" spans="1:8">
      <c r="A94" s="18" t="s">
        <v>59</v>
      </c>
      <c r="B94" s="18" t="s">
        <v>66</v>
      </c>
      <c r="F94" s="14" t="str">
        <f ca="1">IF(OR(OR($A94="",$B94=""),AND($C94&lt;&gt;"",$D94&lt;&gt;"")),"",VLOOKUP(A94,IF({1,0},INDIRECT("达修波得!$"&amp;$E$1&amp;"$2:$"&amp;$E$1&amp;"$15"),达修波得!$A$2:$A$15),2,FALSE))</f>
        <v>二</v>
      </c>
      <c r="G94" s="14" t="str">
        <f ca="1">IF(OR(OR($A94="",$B94=""),AND($C94&lt;&gt;"",$D94&lt;&gt;"")),"",VLOOKUP(B94,IF({1,0},INDIRECT("达修波得!$"&amp;$E$1&amp;"$2:$"&amp;$E$1&amp;"$15"),达修波得!$A$2:$A$15),2,FALSE))</f>
        <v>七</v>
      </c>
      <c r="H94" s="14" t="str">
        <f t="shared" ca="1" si="2"/>
        <v>二七</v>
      </c>
    </row>
    <row r="95" spans="1:8">
      <c r="A95" s="18" t="s">
        <v>64</v>
      </c>
      <c r="B95" s="18" t="s">
        <v>68</v>
      </c>
      <c r="F95" s="14" t="str">
        <f ca="1">IF(OR(OR($A95="",$B95=""),AND($C95&lt;&gt;"",$D95&lt;&gt;"")),"",VLOOKUP(A95,IF({1,0},INDIRECT("达修波得!$"&amp;$E$1&amp;"$2:$"&amp;$E$1&amp;"$15"),达修波得!$A$2:$A$15),2,FALSE))</f>
        <v>贝</v>
      </c>
      <c r="G95" s="14" t="str">
        <f ca="1">IF(OR(OR($A95="",$B95=""),AND($C95&lt;&gt;"",$D95&lt;&gt;"")),"",VLOOKUP(B95,IF({1,0},INDIRECT("达修波得!$"&amp;$E$1&amp;"$2:$"&amp;$E$1&amp;"$15"),达修波得!$A$2:$A$15),2,FALSE))</f>
        <v>二</v>
      </c>
      <c r="H95" s="14" t="str">
        <f t="shared" ca="1" si="2"/>
        <v>贝二</v>
      </c>
    </row>
    <row r="96" spans="1:8">
      <c r="A96" s="18" t="s">
        <v>61</v>
      </c>
      <c r="B96" s="18" t="s">
        <v>67</v>
      </c>
      <c r="F96" s="14" t="str">
        <f ca="1">IF(OR(OR($A96="",$B96=""),AND($C96&lt;&gt;"",$D96&lt;&gt;"")),"",VLOOKUP(A96,IF({1,0},INDIRECT("达修波得!$"&amp;$E$1&amp;"$2:$"&amp;$E$1&amp;"$15"),达修波得!$A$2:$A$15),2,FALSE))</f>
        <v>贝</v>
      </c>
      <c r="G96" s="14" t="str">
        <f ca="1">IF(OR(OR($A96="",$B96=""),AND($C96&lt;&gt;"",$D96&lt;&gt;"")),"",VLOOKUP(B96,IF({1,0},INDIRECT("达修波得!$"&amp;$E$1&amp;"$2:$"&amp;$E$1&amp;"$15"),达修波得!$A$2:$A$15),2,FALSE))</f>
        <v>磊</v>
      </c>
      <c r="H96" s="14" t="str">
        <f t="shared" ca="1" si="2"/>
        <v>贝磊</v>
      </c>
    </row>
    <row r="97" spans="1:8">
      <c r="A97" s="26" t="s">
        <v>29</v>
      </c>
      <c r="F97" s="14" t="str">
        <f ca="1">IF(OR(OR($A97="",$B97=""),AND($C97&lt;&gt;"",$D97&lt;&gt;"")),"",VLOOKUP(A97,IF({1,0},INDIRECT("达修波得!$"&amp;$E$1&amp;"$2:$"&amp;$E$1&amp;"$15"),达修波得!$A$2:$A$15),2,FALSE))</f>
        <v/>
      </c>
      <c r="G97" s="14" t="str">
        <f ca="1">IF(OR(OR($A97="",$B97=""),AND($C97&lt;&gt;"",$D97&lt;&gt;"")),"",VLOOKUP(B97,IF({1,0},INDIRECT("达修波得!$"&amp;$E$1&amp;"$2:$"&amp;$E$1&amp;"$15"),达修波得!$A$2:$A$15),2,FALSE))</f>
        <v/>
      </c>
      <c r="H97" s="14" t="str">
        <f t="shared" ca="1" si="2"/>
        <v/>
      </c>
    </row>
    <row r="98" spans="1:8">
      <c r="A98" s="18" t="s">
        <v>56</v>
      </c>
      <c r="B98" s="18" t="s">
        <v>62</v>
      </c>
      <c r="F98" s="14" t="str">
        <f ca="1">IF(OR(OR($A98="",$B98=""),AND($C98&lt;&gt;"",$D98&lt;&gt;"")),"",VLOOKUP(A98,IF({1,0},INDIRECT("达修波得!$"&amp;$E$1&amp;"$2:$"&amp;$E$1&amp;"$15"),达修波得!$A$2:$A$15),2,FALSE))</f>
        <v>宇</v>
      </c>
      <c r="G98" s="14" t="str">
        <f ca="1">IF(OR(OR($A98="",$B98=""),AND($C98&lt;&gt;"",$D98&lt;&gt;"")),"",VLOOKUP(B98,IF({1,0},INDIRECT("达修波得!$"&amp;$E$1&amp;"$2:$"&amp;$E$1&amp;"$15"),达修波得!$A$2:$A$15),2,FALSE))</f>
        <v>七</v>
      </c>
      <c r="H98" s="14" t="str">
        <f t="shared" ca="1" si="2"/>
        <v>宇七</v>
      </c>
    </row>
    <row r="99" spans="1:8">
      <c r="A99" s="18" t="s">
        <v>69</v>
      </c>
      <c r="B99" s="18" t="s">
        <v>57</v>
      </c>
      <c r="F99" s="14" t="str">
        <f ca="1">IF(OR(OR($A99="",$B99=""),AND($C99&lt;&gt;"",$D99&lt;&gt;"")),"",VLOOKUP(A99,IF({1,0},INDIRECT("达修波得!$"&amp;$E$1&amp;"$2:$"&amp;$E$1&amp;"$15"),达修波得!$A$2:$A$15),2,FALSE))</f>
        <v>爷</v>
      </c>
      <c r="G99" s="14" t="str">
        <f ca="1">IF(OR(OR($A99="",$B99=""),AND($C99&lt;&gt;"",$D99&lt;&gt;"")),"",VLOOKUP(B99,IF({1,0},INDIRECT("达修波得!$"&amp;$E$1&amp;"$2:$"&amp;$E$1&amp;"$15"),达修波得!$A$2:$A$15),2,FALSE))</f>
        <v>黑</v>
      </c>
      <c r="H99" s="14" t="str">
        <f t="shared" ca="1" si="2"/>
        <v>爷黑</v>
      </c>
    </row>
    <row r="100" spans="1:8">
      <c r="A100" s="18" t="s">
        <v>60</v>
      </c>
      <c r="B100" s="18" t="s">
        <v>58</v>
      </c>
      <c r="F100" s="14" t="str">
        <f ca="1">IF(OR(OR($A100="",$B100=""),AND($C100&lt;&gt;"",$D100&lt;&gt;"")),"",VLOOKUP(A100,IF({1,0},INDIRECT("达修波得!$"&amp;$E$1&amp;"$2:$"&amp;$E$1&amp;"$15"),达修波得!$A$2:$A$15),2,FALSE))</f>
        <v>黑</v>
      </c>
      <c r="G100" s="14" t="str">
        <f ca="1">IF(OR(OR($A100="",$B100=""),AND($C100&lt;&gt;"",$D100&lt;&gt;"")),"",VLOOKUP(B100,IF({1,0},INDIRECT("达修波得!$"&amp;$E$1&amp;"$2:$"&amp;$E$1&amp;"$15"),达修波得!$A$2:$A$15),2,FALSE))</f>
        <v>爷</v>
      </c>
      <c r="H100" s="14" t="str">
        <f t="shared" ca="1" si="2"/>
        <v>黑爷</v>
      </c>
    </row>
    <row r="101" spans="1:8">
      <c r="A101" s="18" t="s">
        <v>70</v>
      </c>
      <c r="B101" s="18" t="s">
        <v>66</v>
      </c>
      <c r="F101" s="14" t="str">
        <f ca="1">IF(OR(OR($A101="",$B101=""),AND($C101&lt;&gt;"",$D101&lt;&gt;"")),"",VLOOKUP(A101,IF({1,0},INDIRECT("达修波得!$"&amp;$E$1&amp;"$2:$"&amp;$E$1&amp;"$15"),达修波得!$A$2:$A$15),2,FALSE))</f>
        <v>宇</v>
      </c>
      <c r="G101" s="14" t="str">
        <f ca="1">IF(OR(OR($A101="",$B101=""),AND($C101&lt;&gt;"",$D101&lt;&gt;"")),"",VLOOKUP(B101,IF({1,0},INDIRECT("达修波得!$"&amp;$E$1&amp;"$2:$"&amp;$E$1&amp;"$15"),达修波得!$A$2:$A$15),2,FALSE))</f>
        <v>七</v>
      </c>
      <c r="H101" s="14" t="str">
        <f t="shared" ca="1" si="2"/>
        <v>宇七</v>
      </c>
    </row>
    <row r="102" spans="1:8">
      <c r="A102" s="18" t="s">
        <v>65</v>
      </c>
      <c r="B102" s="18" t="s">
        <v>68</v>
      </c>
      <c r="F102" s="14" t="str">
        <f ca="1">IF(OR(OR($A102="",$B102=""),AND($C102&lt;&gt;"",$D102&lt;&gt;"")),"",VLOOKUP(A102,IF({1,0},INDIRECT("达修波得!$"&amp;$E$1&amp;"$2:$"&amp;$E$1&amp;"$15"),达修波得!$A$2:$A$15),2,FALSE))</f>
        <v>磊</v>
      </c>
      <c r="G102" s="14" t="str">
        <f ca="1">IF(OR(OR($A102="",$B102=""),AND($C102&lt;&gt;"",$D102&lt;&gt;"")),"",VLOOKUP(B102,IF({1,0},INDIRECT("达修波得!$"&amp;$E$1&amp;"$2:$"&amp;$E$1&amp;"$15"),达修波得!$A$2:$A$15),2,FALSE))</f>
        <v>二</v>
      </c>
      <c r="H102" s="14" t="str">
        <f t="shared" ca="1" si="2"/>
        <v>磊二</v>
      </c>
    </row>
    <row r="103" spans="1:8">
      <c r="A103" s="18" t="s">
        <v>59</v>
      </c>
      <c r="B103" s="18" t="s">
        <v>67</v>
      </c>
      <c r="F103" s="14" t="str">
        <f ca="1">IF(OR(OR($A103="",$B103=""),AND($C103&lt;&gt;"",$D103&lt;&gt;"")),"",VLOOKUP(A103,IF({1,0},INDIRECT("达修波得!$"&amp;$E$1&amp;"$2:$"&amp;$E$1&amp;"$15"),达修波得!$A$2:$A$15),2,FALSE))</f>
        <v>二</v>
      </c>
      <c r="G103" s="14" t="str">
        <f ca="1">IF(OR(OR($A103="",$B103=""),AND($C103&lt;&gt;"",$D103&lt;&gt;"")),"",VLOOKUP(B103,IF({1,0},INDIRECT("达修波得!$"&amp;$E$1&amp;"$2:$"&amp;$E$1&amp;"$15"),达修波得!$A$2:$A$15),2,FALSE))</f>
        <v>磊</v>
      </c>
      <c r="H103" s="14" t="str">
        <f t="shared" ca="1" si="2"/>
        <v>二磊</v>
      </c>
    </row>
    <row r="104" spans="1:8">
      <c r="A104" s="18" t="s">
        <v>64</v>
      </c>
      <c r="B104" s="18" t="s">
        <v>61</v>
      </c>
      <c r="F104" s="14" t="str">
        <f ca="1">IF(OR(OR($A104="",$B104=""),AND($C104&lt;&gt;"",$D104&lt;&gt;"")),"",VLOOKUP(A104,IF({1,0},INDIRECT("达修波得!$"&amp;$E$1&amp;"$2:$"&amp;$E$1&amp;"$15"),达修波得!$A$2:$A$15),2,FALSE))</f>
        <v>贝</v>
      </c>
      <c r="G104" s="14" t="str">
        <f ca="1">IF(OR(OR($A104="",$B104=""),AND($C104&lt;&gt;"",$D104&lt;&gt;"")),"",VLOOKUP(B104,IF({1,0},INDIRECT("达修波得!$"&amp;$E$1&amp;"$2:$"&amp;$E$1&amp;"$15"),达修波得!$A$2:$A$15),2,FALSE))</f>
        <v>贝</v>
      </c>
      <c r="H104" s="14" t="str">
        <f t="shared" ca="1" si="2"/>
        <v>贝贝</v>
      </c>
    </row>
    <row r="105" spans="1:8">
      <c r="A105" s="26" t="s">
        <v>30</v>
      </c>
      <c r="F105" s="14" t="str">
        <f ca="1">IF(OR(OR($A105="",$B105=""),AND($C105&lt;&gt;"",$D105&lt;&gt;"")),"",VLOOKUP(A105,IF({1,0},INDIRECT("达修波得!$"&amp;$E$1&amp;"$2:$"&amp;$E$1&amp;"$15"),达修波得!$A$2:$A$15),2,FALSE))</f>
        <v/>
      </c>
      <c r="G105" s="14" t="str">
        <f ca="1">IF(OR(OR($A105="",$B105=""),AND($C105&lt;&gt;"",$D105&lt;&gt;"")),"",VLOOKUP(B105,IF({1,0},INDIRECT("达修波得!$"&amp;$E$1&amp;"$2:$"&amp;$E$1&amp;"$15"),达修波得!$A$2:$A$15),2,FALSE))</f>
        <v/>
      </c>
      <c r="H105" s="14" t="str">
        <f t="shared" ca="1" si="2"/>
        <v/>
      </c>
    </row>
    <row r="106" spans="1:8">
      <c r="A106" s="18" t="s">
        <v>57</v>
      </c>
      <c r="B106" s="18" t="s">
        <v>56</v>
      </c>
      <c r="F106" s="14" t="str">
        <f ca="1">IF(OR(OR($A106="",$B106=""),AND($C106&lt;&gt;"",$D106&lt;&gt;"")),"",VLOOKUP(A106,IF({1,0},INDIRECT("达修波得!$"&amp;$E$1&amp;"$2:$"&amp;$E$1&amp;"$15"),达修波得!$A$2:$A$15),2,FALSE))</f>
        <v>黑</v>
      </c>
      <c r="G106" s="14" t="str">
        <f ca="1">IF(OR(OR($A106="",$B106=""),AND($C106&lt;&gt;"",$D106&lt;&gt;"")),"",VLOOKUP(B106,IF({1,0},INDIRECT("达修波得!$"&amp;$E$1&amp;"$2:$"&amp;$E$1&amp;"$15"),达修波得!$A$2:$A$15),2,FALSE))</f>
        <v>宇</v>
      </c>
      <c r="H106" s="14" t="str">
        <f t="shared" ca="1" si="2"/>
        <v>黑宇</v>
      </c>
    </row>
    <row r="107" spans="1:8">
      <c r="A107" s="18" t="s">
        <v>58</v>
      </c>
      <c r="B107" s="18" t="s">
        <v>62</v>
      </c>
      <c r="F107" s="14" t="str">
        <f ca="1">IF(OR(OR($A107="",$B107=""),AND($C107&lt;&gt;"",$D107&lt;&gt;"")),"",VLOOKUP(A107,IF({1,0},INDIRECT("达修波得!$"&amp;$E$1&amp;"$2:$"&amp;$E$1&amp;"$15"),达修波得!$A$2:$A$15),2,FALSE))</f>
        <v>爷</v>
      </c>
      <c r="G107" s="14" t="str">
        <f ca="1">IF(OR(OR($A107="",$B107=""),AND($C107&lt;&gt;"",$D107&lt;&gt;"")),"",VLOOKUP(B107,IF({1,0},INDIRECT("达修波得!$"&amp;$E$1&amp;"$2:$"&amp;$E$1&amp;"$15"),达修波得!$A$2:$A$15),2,FALSE))</f>
        <v>七</v>
      </c>
      <c r="H107" s="14" t="str">
        <f t="shared" ca="1" si="2"/>
        <v>爷七</v>
      </c>
    </row>
    <row r="108" spans="1:8">
      <c r="A108" s="18" t="s">
        <v>66</v>
      </c>
      <c r="B108" s="18" t="s">
        <v>69</v>
      </c>
      <c r="F108" s="14" t="str">
        <f ca="1">IF(OR(OR($A108="",$B108=""),AND($C108&lt;&gt;"",$D108&lt;&gt;"")),"",VLOOKUP(A108,IF({1,0},INDIRECT("达修波得!$"&amp;$E$1&amp;"$2:$"&amp;$E$1&amp;"$15"),达修波得!$A$2:$A$15),2,FALSE))</f>
        <v>七</v>
      </c>
      <c r="G108" s="14" t="str">
        <f ca="1">IF(OR(OR($A108="",$B108=""),AND($C108&lt;&gt;"",$D108&lt;&gt;"")),"",VLOOKUP(B108,IF({1,0},INDIRECT("达修波得!$"&amp;$E$1&amp;"$2:$"&amp;$E$1&amp;"$15"),达修波得!$A$2:$A$15),2,FALSE))</f>
        <v>爷</v>
      </c>
      <c r="H108" s="14" t="str">
        <f t="shared" ca="1" si="2"/>
        <v>七爷</v>
      </c>
    </row>
    <row r="109" spans="1:8">
      <c r="A109" s="18" t="s">
        <v>68</v>
      </c>
      <c r="B109" s="18" t="s">
        <v>60</v>
      </c>
      <c r="F109" s="14" t="str">
        <f ca="1">IF(OR(OR($A109="",$B109=""),AND($C109&lt;&gt;"",$D109&lt;&gt;"")),"",VLOOKUP(A109,IF({1,0},INDIRECT("达修波得!$"&amp;$E$1&amp;"$2:$"&amp;$E$1&amp;"$15"),达修波得!$A$2:$A$15),2,FALSE))</f>
        <v>二</v>
      </c>
      <c r="G109" s="14" t="str">
        <f ca="1">IF(OR(OR($A109="",$B109=""),AND($C109&lt;&gt;"",$D109&lt;&gt;"")),"",VLOOKUP(B109,IF({1,0},INDIRECT("达修波得!$"&amp;$E$1&amp;"$2:$"&amp;$E$1&amp;"$15"),达修波得!$A$2:$A$15),2,FALSE))</f>
        <v>黑</v>
      </c>
      <c r="H109" s="14" t="str">
        <f t="shared" ca="1" si="2"/>
        <v>二黑</v>
      </c>
    </row>
    <row r="110" spans="1:8">
      <c r="A110" s="18" t="s">
        <v>67</v>
      </c>
      <c r="B110" s="18" t="s">
        <v>70</v>
      </c>
      <c r="F110" s="14" t="str">
        <f ca="1">IF(OR(OR($A110="",$B110=""),AND($C110&lt;&gt;"",$D110&lt;&gt;"")),"",VLOOKUP(A110,IF({1,0},INDIRECT("达修波得!$"&amp;$E$1&amp;"$2:$"&amp;$E$1&amp;"$15"),达修波得!$A$2:$A$15),2,FALSE))</f>
        <v>磊</v>
      </c>
      <c r="G110" s="14" t="str">
        <f ca="1">IF(OR(OR($A110="",$B110=""),AND($C110&lt;&gt;"",$D110&lt;&gt;"")),"",VLOOKUP(B110,IF({1,0},INDIRECT("达修波得!$"&amp;$E$1&amp;"$2:$"&amp;$E$1&amp;"$15"),达修波得!$A$2:$A$15),2,FALSE))</f>
        <v>宇</v>
      </c>
      <c r="H110" s="14" t="str">
        <f t="shared" ca="1" si="2"/>
        <v>磊宇</v>
      </c>
    </row>
    <row r="111" spans="1:8">
      <c r="A111" s="18" t="s">
        <v>61</v>
      </c>
      <c r="B111" s="18" t="s">
        <v>65</v>
      </c>
      <c r="F111" s="14" t="str">
        <f ca="1">IF(OR(OR($A111="",$B111=""),AND($C111&lt;&gt;"",$D111&lt;&gt;"")),"",VLOOKUP(A111,IF({1,0},INDIRECT("达修波得!$"&amp;$E$1&amp;"$2:$"&amp;$E$1&amp;"$15"),达修波得!$A$2:$A$15),2,FALSE))</f>
        <v>贝</v>
      </c>
      <c r="G111" s="14" t="str">
        <f ca="1">IF(OR(OR($A111="",$B111=""),AND($C111&lt;&gt;"",$D111&lt;&gt;"")),"",VLOOKUP(B111,IF({1,0},INDIRECT("达修波得!$"&amp;$E$1&amp;"$2:$"&amp;$E$1&amp;"$15"),达修波得!$A$2:$A$15),2,FALSE))</f>
        <v>磊</v>
      </c>
      <c r="H111" s="14" t="str">
        <f t="shared" ca="1" si="2"/>
        <v>贝磊</v>
      </c>
    </row>
    <row r="112" spans="1:8">
      <c r="A112" s="18" t="s">
        <v>64</v>
      </c>
      <c r="B112" s="18" t="s">
        <v>59</v>
      </c>
      <c r="F112" s="14" t="str">
        <f ca="1">IF(OR(OR($A112="",$B112=""),AND($C112&lt;&gt;"",$D112&lt;&gt;"")),"",VLOOKUP(A112,IF({1,0},INDIRECT("达修波得!$"&amp;$E$1&amp;"$2:$"&amp;$E$1&amp;"$15"),达修波得!$A$2:$A$15),2,FALSE))</f>
        <v>贝</v>
      </c>
      <c r="G112" s="14" t="str">
        <f ca="1">IF(OR(OR($A112="",$B112=""),AND($C112&lt;&gt;"",$D112&lt;&gt;"")),"",VLOOKUP(B112,IF({1,0},INDIRECT("达修波得!$"&amp;$E$1&amp;"$2:$"&amp;$E$1&amp;"$15"),达修波得!$A$2:$A$15),2,FALSE))</f>
        <v>二</v>
      </c>
      <c r="H112" s="14" t="str">
        <f t="shared" ca="1" si="2"/>
        <v>贝二</v>
      </c>
    </row>
    <row r="113" spans="1:8">
      <c r="A113" s="26" t="s">
        <v>44</v>
      </c>
      <c r="F113" s="14" t="str">
        <f ca="1">IF(OR(OR($A113="",$B113=""),AND($C113&lt;&gt;"",$D113&lt;&gt;"")),"",VLOOKUP(A113,IF({1,0},INDIRECT("达修波得!$"&amp;$E$1&amp;"$2:$"&amp;$E$1&amp;"$15"),达修波得!$A$2:$A$15),2,FALSE))</f>
        <v/>
      </c>
      <c r="G113" s="14" t="str">
        <f ca="1">IF(OR(OR($A113="",$B113=""),AND($C113&lt;&gt;"",$D113&lt;&gt;"")),"",VLOOKUP(B113,IF({1,0},INDIRECT("达修波得!$"&amp;$E$1&amp;"$2:$"&amp;$E$1&amp;"$15"),达修波得!$A$2:$A$15),2,FALSE))</f>
        <v/>
      </c>
      <c r="H113" s="14" t="str">
        <f t="shared" ca="1" si="2"/>
        <v/>
      </c>
    </row>
    <row r="114" spans="1:8">
      <c r="A114" s="18" t="s">
        <v>58</v>
      </c>
      <c r="B114" s="18" t="s">
        <v>56</v>
      </c>
      <c r="F114" s="14" t="str">
        <f ca="1">IF(OR(OR($A114="",$B114=""),AND($C114&lt;&gt;"",$D114&lt;&gt;"")),"",VLOOKUP(A114,IF({1,0},INDIRECT("达修波得!$"&amp;$E$1&amp;"$2:$"&amp;$E$1&amp;"$15"),达修波得!$A$2:$A$15),2,FALSE))</f>
        <v>爷</v>
      </c>
      <c r="G114" s="14" t="str">
        <f ca="1">IF(OR(OR($A114="",$B114=""),AND($C114&lt;&gt;"",$D114&lt;&gt;"")),"",VLOOKUP(B114,IF({1,0},INDIRECT("达修波得!$"&amp;$E$1&amp;"$2:$"&amp;$E$1&amp;"$15"),达修波得!$A$2:$A$15),2,FALSE))</f>
        <v>宇</v>
      </c>
      <c r="H114" s="14" t="str">
        <f t="shared" ca="1" si="2"/>
        <v>爷宇</v>
      </c>
    </row>
    <row r="115" spans="1:8">
      <c r="A115" s="18" t="s">
        <v>66</v>
      </c>
      <c r="B115" s="18" t="s">
        <v>57</v>
      </c>
      <c r="F115" s="14" t="str">
        <f ca="1">IF(OR(OR($A115="",$B115=""),AND($C115&lt;&gt;"",$D115&lt;&gt;"")),"",VLOOKUP(A115,IF({1,0},INDIRECT("达修波得!$"&amp;$E$1&amp;"$2:$"&amp;$E$1&amp;"$15"),达修波得!$A$2:$A$15),2,FALSE))</f>
        <v>七</v>
      </c>
      <c r="G115" s="14" t="str">
        <f ca="1">IF(OR(OR($A115="",$B115=""),AND($C115&lt;&gt;"",$D115&lt;&gt;"")),"",VLOOKUP(B115,IF({1,0},INDIRECT("达修波得!$"&amp;$E$1&amp;"$2:$"&amp;$E$1&amp;"$15"),达修波得!$A$2:$A$15),2,FALSE))</f>
        <v>黑</v>
      </c>
      <c r="H115" s="14" t="str">
        <f t="shared" ca="1" si="2"/>
        <v>七黑</v>
      </c>
    </row>
    <row r="116" spans="1:8">
      <c r="A116" s="18" t="s">
        <v>68</v>
      </c>
      <c r="B116" s="18" t="s">
        <v>62</v>
      </c>
      <c r="F116" s="14" t="str">
        <f ca="1">IF(OR(OR($A116="",$B116=""),AND($C116&lt;&gt;"",$D116&lt;&gt;"")),"",VLOOKUP(A116,IF({1,0},INDIRECT("达修波得!$"&amp;$E$1&amp;"$2:$"&amp;$E$1&amp;"$15"),达修波得!$A$2:$A$15),2,FALSE))</f>
        <v>二</v>
      </c>
      <c r="G116" s="14" t="str">
        <f ca="1">IF(OR(OR($A116="",$B116=""),AND($C116&lt;&gt;"",$D116&lt;&gt;"")),"",VLOOKUP(B116,IF({1,0},INDIRECT("达修波得!$"&amp;$E$1&amp;"$2:$"&amp;$E$1&amp;"$15"),达修波得!$A$2:$A$15),2,FALSE))</f>
        <v>七</v>
      </c>
      <c r="H116" s="14" t="str">
        <f t="shared" ca="1" si="2"/>
        <v>二七</v>
      </c>
    </row>
    <row r="117" spans="1:8">
      <c r="A117" s="18" t="s">
        <v>67</v>
      </c>
      <c r="B117" s="18" t="s">
        <v>69</v>
      </c>
      <c r="F117" s="14" t="str">
        <f ca="1">IF(OR(OR($A117="",$B117=""),AND($C117&lt;&gt;"",$D117&lt;&gt;"")),"",VLOOKUP(A117,IF({1,0},INDIRECT("达修波得!$"&amp;$E$1&amp;"$2:$"&amp;$E$1&amp;"$15"),达修波得!$A$2:$A$15),2,FALSE))</f>
        <v>磊</v>
      </c>
      <c r="G117" s="14" t="str">
        <f ca="1">IF(OR(OR($A117="",$B117=""),AND($C117&lt;&gt;"",$D117&lt;&gt;"")),"",VLOOKUP(B117,IF({1,0},INDIRECT("达修波得!$"&amp;$E$1&amp;"$2:$"&amp;$E$1&amp;"$15"),达修波得!$A$2:$A$15),2,FALSE))</f>
        <v>爷</v>
      </c>
      <c r="H117" s="14" t="str">
        <f t="shared" ca="1" si="2"/>
        <v>磊爷</v>
      </c>
    </row>
    <row r="118" spans="1:8">
      <c r="A118" s="18" t="s">
        <v>61</v>
      </c>
      <c r="B118" s="18" t="s">
        <v>60</v>
      </c>
      <c r="F118" s="14" t="str">
        <f ca="1">IF(OR(OR($A118="",$B118=""),AND($C118&lt;&gt;"",$D118&lt;&gt;"")),"",VLOOKUP(A118,IF({1,0},INDIRECT("达修波得!$"&amp;$E$1&amp;"$2:$"&amp;$E$1&amp;"$15"),达修波得!$A$2:$A$15),2,FALSE))</f>
        <v>贝</v>
      </c>
      <c r="G118" s="14" t="str">
        <f ca="1">IF(OR(OR($A118="",$B118=""),AND($C118&lt;&gt;"",$D118&lt;&gt;"")),"",VLOOKUP(B118,IF({1,0},INDIRECT("达修波得!$"&amp;$E$1&amp;"$2:$"&amp;$E$1&amp;"$15"),达修波得!$A$2:$A$15),2,FALSE))</f>
        <v>黑</v>
      </c>
      <c r="H118" s="14" t="str">
        <f t="shared" ca="1" si="2"/>
        <v>贝黑</v>
      </c>
    </row>
    <row r="119" spans="1:8">
      <c r="A119" s="18" t="s">
        <v>64</v>
      </c>
      <c r="B119" s="18" t="s">
        <v>70</v>
      </c>
      <c r="F119" s="14" t="str">
        <f ca="1">IF(OR(OR($A119="",$B119=""),AND($C119&lt;&gt;"",$D119&lt;&gt;"")),"",VLOOKUP(A119,IF({1,0},INDIRECT("达修波得!$"&amp;$E$1&amp;"$2:$"&amp;$E$1&amp;"$15"),达修波得!$A$2:$A$15),2,FALSE))</f>
        <v>贝</v>
      </c>
      <c r="G119" s="14" t="str">
        <f ca="1">IF(OR(OR($A119="",$B119=""),AND($C119&lt;&gt;"",$D119&lt;&gt;"")),"",VLOOKUP(B119,IF({1,0},INDIRECT("达修波得!$"&amp;$E$1&amp;"$2:$"&amp;$E$1&amp;"$15"),达修波得!$A$2:$A$15),2,FALSE))</f>
        <v>宇</v>
      </c>
      <c r="H119" s="14" t="str">
        <f t="shared" ca="1" si="2"/>
        <v>贝宇</v>
      </c>
    </row>
    <row r="120" spans="1:8">
      <c r="A120" s="18" t="s">
        <v>59</v>
      </c>
      <c r="B120" s="18" t="s">
        <v>65</v>
      </c>
      <c r="F120" s="14" t="str">
        <f ca="1">IF(OR(OR($A120="",$B120=""),AND($C120&lt;&gt;"",$D120&lt;&gt;"")),"",VLOOKUP(A120,IF({1,0},INDIRECT("达修波得!$"&amp;$E$1&amp;"$2:$"&amp;$E$1&amp;"$15"),达修波得!$A$2:$A$15),2,FALSE))</f>
        <v>二</v>
      </c>
      <c r="G120" s="14" t="str">
        <f ca="1">IF(OR(OR($A120="",$B120=""),AND($C120&lt;&gt;"",$D120&lt;&gt;"")),"",VLOOKUP(B120,IF({1,0},INDIRECT("达修波得!$"&amp;$E$1&amp;"$2:$"&amp;$E$1&amp;"$15"),达修波得!$A$2:$A$15),2,FALSE))</f>
        <v>磊</v>
      </c>
      <c r="H120" s="14" t="str">
        <f t="shared" ca="1" si="2"/>
        <v>二磊</v>
      </c>
    </row>
    <row r="121" spans="1:8">
      <c r="A121" s="26" t="s">
        <v>45</v>
      </c>
      <c r="F121" s="14" t="str">
        <f ca="1">IF(OR(OR($A121="",$B121=""),AND($C121&lt;&gt;"",$D121&lt;&gt;"")),"",VLOOKUP(A121,IF({1,0},INDIRECT("达修波得!$"&amp;$E$1&amp;"$2:$"&amp;$E$1&amp;"$15"),达修波得!$A$2:$A$15),2,FALSE))</f>
        <v/>
      </c>
      <c r="G121" s="14" t="str">
        <f ca="1">IF(OR(OR($A121="",$B121=""),AND($C121&lt;&gt;"",$D121&lt;&gt;"")),"",VLOOKUP(B121,IF({1,0},INDIRECT("达修波得!$"&amp;$E$1&amp;"$2:$"&amp;$E$1&amp;"$15"),达修波得!$A$2:$A$15),2,FALSE))</f>
        <v/>
      </c>
      <c r="H121" s="14" t="str">
        <f t="shared" ca="1" si="2"/>
        <v/>
      </c>
    </row>
    <row r="122" spans="1:8">
      <c r="A122" s="18" t="s">
        <v>66</v>
      </c>
      <c r="B122" s="18" t="s">
        <v>56</v>
      </c>
      <c r="F122" s="14" t="str">
        <f ca="1">IF(OR(OR($A122="",$B122=""),AND($C122&lt;&gt;"",$D122&lt;&gt;"")),"",VLOOKUP(A122,IF({1,0},INDIRECT("达修波得!$"&amp;$E$1&amp;"$2:$"&amp;$E$1&amp;"$15"),达修波得!$A$2:$A$15),2,FALSE))</f>
        <v>七</v>
      </c>
      <c r="G122" s="14" t="str">
        <f ca="1">IF(OR(OR($A122="",$B122=""),AND($C122&lt;&gt;"",$D122&lt;&gt;"")),"",VLOOKUP(B122,IF({1,0},INDIRECT("达修波得!$"&amp;$E$1&amp;"$2:$"&amp;$E$1&amp;"$15"),达修波得!$A$2:$A$15),2,FALSE))</f>
        <v>宇</v>
      </c>
      <c r="H122" s="14" t="str">
        <f t="shared" ca="1" si="2"/>
        <v>七宇</v>
      </c>
    </row>
    <row r="123" spans="1:8">
      <c r="A123" s="18" t="s">
        <v>68</v>
      </c>
      <c r="B123" s="18" t="s">
        <v>58</v>
      </c>
      <c r="F123" s="14" t="str">
        <f ca="1">IF(OR(OR($A123="",$B123=""),AND($C123&lt;&gt;"",$D123&lt;&gt;"")),"",VLOOKUP(A123,IF({1,0},INDIRECT("达修波得!$"&amp;$E$1&amp;"$2:$"&amp;$E$1&amp;"$15"),达修波得!$A$2:$A$15),2,FALSE))</f>
        <v>二</v>
      </c>
      <c r="G123" s="14" t="str">
        <f ca="1">IF(OR(OR($A123="",$B123=""),AND($C123&lt;&gt;"",$D123&lt;&gt;"")),"",VLOOKUP(B123,IF({1,0},INDIRECT("达修波得!$"&amp;$E$1&amp;"$2:$"&amp;$E$1&amp;"$15"),达修波得!$A$2:$A$15),2,FALSE))</f>
        <v>爷</v>
      </c>
      <c r="H123" s="14" t="str">
        <f t="shared" ca="1" si="2"/>
        <v>二爷</v>
      </c>
    </row>
    <row r="124" spans="1:8">
      <c r="A124" s="18" t="s">
        <v>67</v>
      </c>
      <c r="B124" s="18" t="s">
        <v>57</v>
      </c>
      <c r="F124" s="14" t="str">
        <f ca="1">IF(OR(OR($A124="",$B124=""),AND($C124&lt;&gt;"",$D124&lt;&gt;"")),"",VLOOKUP(A124,IF({1,0},INDIRECT("达修波得!$"&amp;$E$1&amp;"$2:$"&amp;$E$1&amp;"$15"),达修波得!$A$2:$A$15),2,FALSE))</f>
        <v>磊</v>
      </c>
      <c r="G124" s="14" t="str">
        <f ca="1">IF(OR(OR($A124="",$B124=""),AND($C124&lt;&gt;"",$D124&lt;&gt;"")),"",VLOOKUP(B124,IF({1,0},INDIRECT("达修波得!$"&amp;$E$1&amp;"$2:$"&amp;$E$1&amp;"$15"),达修波得!$A$2:$A$15),2,FALSE))</f>
        <v>黑</v>
      </c>
      <c r="H124" s="14" t="str">
        <f t="shared" ca="1" si="2"/>
        <v>磊黑</v>
      </c>
    </row>
    <row r="125" spans="1:8">
      <c r="A125" s="18" t="s">
        <v>61</v>
      </c>
      <c r="B125" s="18" t="s">
        <v>62</v>
      </c>
      <c r="F125" s="14" t="str">
        <f ca="1">IF(OR(OR($A125="",$B125=""),AND($C125&lt;&gt;"",$D125&lt;&gt;"")),"",VLOOKUP(A125,IF({1,0},INDIRECT("达修波得!$"&amp;$E$1&amp;"$2:$"&amp;$E$1&amp;"$15"),达修波得!$A$2:$A$15),2,FALSE))</f>
        <v>贝</v>
      </c>
      <c r="G125" s="14" t="str">
        <f ca="1">IF(OR(OR($A125="",$B125=""),AND($C125&lt;&gt;"",$D125&lt;&gt;"")),"",VLOOKUP(B125,IF({1,0},INDIRECT("达修波得!$"&amp;$E$1&amp;"$2:$"&amp;$E$1&amp;"$15"),达修波得!$A$2:$A$15),2,FALSE))</f>
        <v>七</v>
      </c>
      <c r="H125" s="14" t="str">
        <f t="shared" ca="1" si="2"/>
        <v>贝七</v>
      </c>
    </row>
    <row r="126" spans="1:8">
      <c r="A126" s="18" t="s">
        <v>64</v>
      </c>
      <c r="B126" s="18" t="s">
        <v>69</v>
      </c>
      <c r="F126" s="14" t="str">
        <f ca="1">IF(OR(OR($A126="",$B126=""),AND($C126&lt;&gt;"",$D126&lt;&gt;"")),"",VLOOKUP(A126,IF({1,0},INDIRECT("达修波得!$"&amp;$E$1&amp;"$2:$"&amp;$E$1&amp;"$15"),达修波得!$A$2:$A$15),2,FALSE))</f>
        <v>贝</v>
      </c>
      <c r="G126" s="14" t="str">
        <f ca="1">IF(OR(OR($A126="",$B126=""),AND($C126&lt;&gt;"",$D126&lt;&gt;"")),"",VLOOKUP(B126,IF({1,0},INDIRECT("达修波得!$"&amp;$E$1&amp;"$2:$"&amp;$E$1&amp;"$15"),达修波得!$A$2:$A$15),2,FALSE))</f>
        <v>爷</v>
      </c>
      <c r="H126" s="14" t="str">
        <f t="shared" ca="1" si="2"/>
        <v>贝爷</v>
      </c>
    </row>
    <row r="127" spans="1:8">
      <c r="A127" s="18" t="s">
        <v>59</v>
      </c>
      <c r="B127" s="18" t="s">
        <v>60</v>
      </c>
      <c r="F127" s="14" t="str">
        <f ca="1">IF(OR(OR($A127="",$B127=""),AND($C127&lt;&gt;"",$D127&lt;&gt;"")),"",VLOOKUP(A127,IF({1,0},INDIRECT("达修波得!$"&amp;$E$1&amp;"$2:$"&amp;$E$1&amp;"$15"),达修波得!$A$2:$A$15),2,FALSE))</f>
        <v>二</v>
      </c>
      <c r="G127" s="14" t="str">
        <f ca="1">IF(OR(OR($A127="",$B127=""),AND($C127&lt;&gt;"",$D127&lt;&gt;"")),"",VLOOKUP(B127,IF({1,0},INDIRECT("达修波得!$"&amp;$E$1&amp;"$2:$"&amp;$E$1&amp;"$15"),达修波得!$A$2:$A$15),2,FALSE))</f>
        <v>黑</v>
      </c>
      <c r="H127" s="14" t="str">
        <f t="shared" ca="1" si="2"/>
        <v>二黑</v>
      </c>
    </row>
    <row r="128" spans="1:8">
      <c r="A128" s="18" t="s">
        <v>65</v>
      </c>
      <c r="B128" s="18" t="s">
        <v>70</v>
      </c>
      <c r="F128" s="14" t="str">
        <f ca="1">IF(OR(OR($A128="",$B128=""),AND($C128&lt;&gt;"",$D128&lt;&gt;"")),"",VLOOKUP(A128,IF({1,0},INDIRECT("达修波得!$"&amp;$E$1&amp;"$2:$"&amp;$E$1&amp;"$15"),达修波得!$A$2:$A$15),2,FALSE))</f>
        <v>磊</v>
      </c>
      <c r="G128" s="14" t="str">
        <f ca="1">IF(OR(OR($A128="",$B128=""),AND($C128&lt;&gt;"",$D128&lt;&gt;"")),"",VLOOKUP(B128,IF({1,0},INDIRECT("达修波得!$"&amp;$E$1&amp;"$2:$"&amp;$E$1&amp;"$15"),达修波得!$A$2:$A$15),2,FALSE))</f>
        <v>宇</v>
      </c>
      <c r="H128" s="14" t="str">
        <f t="shared" ca="1" si="2"/>
        <v>磊宇</v>
      </c>
    </row>
    <row r="129" spans="1:8">
      <c r="A129" s="26" t="s">
        <v>46</v>
      </c>
      <c r="F129" s="14" t="str">
        <f ca="1">IF(OR(OR($A129="",$B129=""),AND($C129&lt;&gt;"",$D129&lt;&gt;"")),"",VLOOKUP(A129,IF({1,0},INDIRECT("达修波得!$"&amp;$E$1&amp;"$2:$"&amp;$E$1&amp;"$15"),达修波得!$A$2:$A$15),2,FALSE))</f>
        <v/>
      </c>
      <c r="G129" s="14" t="str">
        <f ca="1">IF(OR(OR($A129="",$B129=""),AND($C129&lt;&gt;"",$D129&lt;&gt;"")),"",VLOOKUP(B129,IF({1,0},INDIRECT("达修波得!$"&amp;$E$1&amp;"$2:$"&amp;$E$1&amp;"$15"),达修波得!$A$2:$A$15),2,FALSE))</f>
        <v/>
      </c>
      <c r="H129" s="14" t="str">
        <f t="shared" ca="1" si="2"/>
        <v/>
      </c>
    </row>
    <row r="130" spans="1:8">
      <c r="A130" s="18" t="s">
        <v>68</v>
      </c>
      <c r="B130" s="18" t="s">
        <v>56</v>
      </c>
      <c r="F130" s="14" t="str">
        <f ca="1">IF(OR(OR($A130="",$B130=""),AND($C130&lt;&gt;"",$D130&lt;&gt;"")),"",VLOOKUP(A130,IF({1,0},INDIRECT("达修波得!$"&amp;$E$1&amp;"$2:$"&amp;$E$1&amp;"$15"),达修波得!$A$2:$A$15),2,FALSE))</f>
        <v>二</v>
      </c>
      <c r="G130" s="14" t="str">
        <f ca="1">IF(OR(OR($A130="",$B130=""),AND($C130&lt;&gt;"",$D130&lt;&gt;"")),"",VLOOKUP(B130,IF({1,0},INDIRECT("达修波得!$"&amp;$E$1&amp;"$2:$"&amp;$E$1&amp;"$15"),达修波得!$A$2:$A$15),2,FALSE))</f>
        <v>宇</v>
      </c>
      <c r="H130" s="14" t="str">
        <f t="shared" ca="1" si="2"/>
        <v>二宇</v>
      </c>
    </row>
    <row r="131" spans="1:8">
      <c r="A131" s="18" t="s">
        <v>67</v>
      </c>
      <c r="B131" s="18" t="s">
        <v>66</v>
      </c>
      <c r="F131" s="14" t="str">
        <f ca="1">IF(OR(OR($A131="",$B131=""),AND($C131&lt;&gt;"",$D131&lt;&gt;"")),"",VLOOKUP(A131,IF({1,0},INDIRECT("达修波得!$"&amp;$E$1&amp;"$2:$"&amp;$E$1&amp;"$15"),达修波得!$A$2:$A$15),2,FALSE))</f>
        <v>磊</v>
      </c>
      <c r="G131" s="14" t="str">
        <f ca="1">IF(OR(OR($A131="",$B131=""),AND($C131&lt;&gt;"",$D131&lt;&gt;"")),"",VLOOKUP(B131,IF({1,0},INDIRECT("达修波得!$"&amp;$E$1&amp;"$2:$"&amp;$E$1&amp;"$15"),达修波得!$A$2:$A$15),2,FALSE))</f>
        <v>七</v>
      </c>
      <c r="H131" s="14" t="str">
        <f t="shared" ca="1" si="2"/>
        <v>磊七</v>
      </c>
    </row>
    <row r="132" spans="1:8">
      <c r="A132" s="18" t="s">
        <v>61</v>
      </c>
      <c r="B132" s="18" t="s">
        <v>58</v>
      </c>
      <c r="F132" s="14" t="str">
        <f ca="1">IF(OR(OR($A132="",$B132=""),AND($C132&lt;&gt;"",$D132&lt;&gt;"")),"",VLOOKUP(A132,IF({1,0},INDIRECT("达修波得!$"&amp;$E$1&amp;"$2:$"&amp;$E$1&amp;"$15"),达修波得!$A$2:$A$15),2,FALSE))</f>
        <v>贝</v>
      </c>
      <c r="G132" s="14" t="str">
        <f ca="1">IF(OR(OR($A132="",$B132=""),AND($C132&lt;&gt;"",$D132&lt;&gt;"")),"",VLOOKUP(B132,IF({1,0},INDIRECT("达修波得!$"&amp;$E$1&amp;"$2:$"&amp;$E$1&amp;"$15"),达修波得!$A$2:$A$15),2,FALSE))</f>
        <v>爷</v>
      </c>
      <c r="H132" s="14" t="str">
        <f t="shared" ca="1" si="2"/>
        <v>贝爷</v>
      </c>
    </row>
    <row r="133" spans="1:8">
      <c r="A133" s="18" t="s">
        <v>64</v>
      </c>
      <c r="B133" s="18" t="s">
        <v>57</v>
      </c>
      <c r="F133" s="14" t="str">
        <f ca="1">IF(OR(OR($A133="",$B133=""),AND($C133&lt;&gt;"",$D133&lt;&gt;"")),"",VLOOKUP(A133,IF({1,0},INDIRECT("达修波得!$"&amp;$E$1&amp;"$2:$"&amp;$E$1&amp;"$15"),达修波得!$A$2:$A$15),2,FALSE))</f>
        <v>贝</v>
      </c>
      <c r="G133" s="14" t="str">
        <f ca="1">IF(OR(OR($A133="",$B133=""),AND($C133&lt;&gt;"",$D133&lt;&gt;"")),"",VLOOKUP(B133,IF({1,0},INDIRECT("达修波得!$"&amp;$E$1&amp;"$2:$"&amp;$E$1&amp;"$15"),达修波得!$A$2:$A$15),2,FALSE))</f>
        <v>黑</v>
      </c>
      <c r="H133" s="14" t="str">
        <f t="shared" ca="1" si="2"/>
        <v>贝黑</v>
      </c>
    </row>
    <row r="134" spans="1:8">
      <c r="A134" s="18" t="s">
        <v>59</v>
      </c>
      <c r="B134" s="18" t="s">
        <v>62</v>
      </c>
      <c r="F134" s="14" t="str">
        <f ca="1">IF(OR(OR($A134="",$B134=""),AND($C134&lt;&gt;"",$D134&lt;&gt;"")),"",VLOOKUP(A134,IF({1,0},INDIRECT("达修波得!$"&amp;$E$1&amp;"$2:$"&amp;$E$1&amp;"$15"),达修波得!$A$2:$A$15),2,FALSE))</f>
        <v>二</v>
      </c>
      <c r="G134" s="14" t="str">
        <f ca="1">IF(OR(OR($A134="",$B134=""),AND($C134&lt;&gt;"",$D134&lt;&gt;"")),"",VLOOKUP(B134,IF({1,0},INDIRECT("达修波得!$"&amp;$E$1&amp;"$2:$"&amp;$E$1&amp;"$15"),达修波得!$A$2:$A$15),2,FALSE))</f>
        <v>七</v>
      </c>
      <c r="H134" s="14" t="str">
        <f t="shared" ca="1" si="2"/>
        <v>二七</v>
      </c>
    </row>
    <row r="135" spans="1:8">
      <c r="A135" s="18" t="s">
        <v>65</v>
      </c>
      <c r="B135" s="18" t="s">
        <v>69</v>
      </c>
      <c r="F135" s="14" t="str">
        <f ca="1">IF(OR(OR($A135="",$B135=""),AND($C135&lt;&gt;"",$D135&lt;&gt;"")),"",VLOOKUP(A135,IF({1,0},INDIRECT("达修波得!$"&amp;$E$1&amp;"$2:$"&amp;$E$1&amp;"$15"),达修波得!$A$2:$A$15),2,FALSE))</f>
        <v>磊</v>
      </c>
      <c r="G135" s="14" t="str">
        <f ca="1">IF(OR(OR($A135="",$B135=""),AND($C135&lt;&gt;"",$D135&lt;&gt;"")),"",VLOOKUP(B135,IF({1,0},INDIRECT("达修波得!$"&amp;$E$1&amp;"$2:$"&amp;$E$1&amp;"$15"),达修波得!$A$2:$A$15),2,FALSE))</f>
        <v>爷</v>
      </c>
      <c r="H135" s="14" t="str">
        <f t="shared" ca="1" si="2"/>
        <v>磊爷</v>
      </c>
    </row>
    <row r="136" spans="1:8">
      <c r="A136" s="18" t="s">
        <v>70</v>
      </c>
      <c r="B136" s="18" t="s">
        <v>60</v>
      </c>
      <c r="F136" s="14" t="str">
        <f ca="1">IF(OR(OR($A136="",$B136=""),AND($C136&lt;&gt;"",$D136&lt;&gt;"")),"",VLOOKUP(A136,IF({1,0},INDIRECT("达修波得!$"&amp;$E$1&amp;"$2:$"&amp;$E$1&amp;"$15"),达修波得!$A$2:$A$15),2,FALSE))</f>
        <v>宇</v>
      </c>
      <c r="G136" s="14" t="str">
        <f ca="1">IF(OR(OR($A136="",$B136=""),AND($C136&lt;&gt;"",$D136&lt;&gt;"")),"",VLOOKUP(B136,IF({1,0},INDIRECT("达修波得!$"&amp;$E$1&amp;"$2:$"&amp;$E$1&amp;"$15"),达修波得!$A$2:$A$15),2,FALSE))</f>
        <v>黑</v>
      </c>
      <c r="H136" s="14" t="str">
        <f t="shared" ca="1" si="2"/>
        <v>宇黑</v>
      </c>
    </row>
    <row r="137" spans="1:8">
      <c r="A137" s="26" t="s">
        <v>47</v>
      </c>
      <c r="F137" s="14" t="str">
        <f ca="1">IF(OR(OR($A137="",$B137=""),AND($C137&lt;&gt;"",$D137&lt;&gt;"")),"",VLOOKUP(A137,IF({1,0},INDIRECT("达修波得!$"&amp;$E$1&amp;"$2:$"&amp;$E$1&amp;"$15"),达修波得!$A$2:$A$15),2,FALSE))</f>
        <v/>
      </c>
      <c r="G137" s="14" t="str">
        <f ca="1">IF(OR(OR($A137="",$B137=""),AND($C137&lt;&gt;"",$D137&lt;&gt;"")),"",VLOOKUP(B137,IF({1,0},INDIRECT("达修波得!$"&amp;$E$1&amp;"$2:$"&amp;$E$1&amp;"$15"),达修波得!$A$2:$A$15),2,FALSE))</f>
        <v/>
      </c>
      <c r="H137" s="14" t="str">
        <f t="shared" ref="H137:H200" ca="1" si="3">F137&amp;G137</f>
        <v/>
      </c>
    </row>
    <row r="138" spans="1:8">
      <c r="A138" s="18" t="s">
        <v>67</v>
      </c>
      <c r="B138" s="18" t="s">
        <v>56</v>
      </c>
      <c r="F138" s="14" t="str">
        <f ca="1">IF(OR(OR($A138="",$B138=""),AND($C138&lt;&gt;"",$D138&lt;&gt;"")),"",VLOOKUP(A138,IF({1,0},INDIRECT("达修波得!$"&amp;$E$1&amp;"$2:$"&amp;$E$1&amp;"$15"),达修波得!$A$2:$A$15),2,FALSE))</f>
        <v>磊</v>
      </c>
      <c r="G138" s="14" t="str">
        <f ca="1">IF(OR(OR($A138="",$B138=""),AND($C138&lt;&gt;"",$D138&lt;&gt;"")),"",VLOOKUP(B138,IF({1,0},INDIRECT("达修波得!$"&amp;$E$1&amp;"$2:$"&amp;$E$1&amp;"$15"),达修波得!$A$2:$A$15),2,FALSE))</f>
        <v>宇</v>
      </c>
      <c r="H138" s="14" t="str">
        <f t="shared" ca="1" si="3"/>
        <v>磊宇</v>
      </c>
    </row>
    <row r="139" spans="1:8">
      <c r="A139" s="18" t="s">
        <v>61</v>
      </c>
      <c r="B139" s="18" t="s">
        <v>68</v>
      </c>
      <c r="F139" s="14" t="str">
        <f ca="1">IF(OR(OR($A139="",$B139=""),AND($C139&lt;&gt;"",$D139&lt;&gt;"")),"",VLOOKUP(A139,IF({1,0},INDIRECT("达修波得!$"&amp;$E$1&amp;"$2:$"&amp;$E$1&amp;"$15"),达修波得!$A$2:$A$15),2,FALSE))</f>
        <v>贝</v>
      </c>
      <c r="G139" s="14" t="str">
        <f ca="1">IF(OR(OR($A139="",$B139=""),AND($C139&lt;&gt;"",$D139&lt;&gt;"")),"",VLOOKUP(B139,IF({1,0},INDIRECT("达修波得!$"&amp;$E$1&amp;"$2:$"&amp;$E$1&amp;"$15"),达修波得!$A$2:$A$15),2,FALSE))</f>
        <v>二</v>
      </c>
      <c r="H139" s="14" t="str">
        <f t="shared" ca="1" si="3"/>
        <v>贝二</v>
      </c>
    </row>
    <row r="140" spans="1:8">
      <c r="A140" s="18" t="s">
        <v>64</v>
      </c>
      <c r="B140" s="18" t="s">
        <v>66</v>
      </c>
      <c r="F140" s="14" t="str">
        <f ca="1">IF(OR(OR($A140="",$B140=""),AND($C140&lt;&gt;"",$D140&lt;&gt;"")),"",VLOOKUP(A140,IF({1,0},INDIRECT("达修波得!$"&amp;$E$1&amp;"$2:$"&amp;$E$1&amp;"$15"),达修波得!$A$2:$A$15),2,FALSE))</f>
        <v>贝</v>
      </c>
      <c r="G140" s="14" t="str">
        <f ca="1">IF(OR(OR($A140="",$B140=""),AND($C140&lt;&gt;"",$D140&lt;&gt;"")),"",VLOOKUP(B140,IF({1,0},INDIRECT("达修波得!$"&amp;$E$1&amp;"$2:$"&amp;$E$1&amp;"$15"),达修波得!$A$2:$A$15),2,FALSE))</f>
        <v>七</v>
      </c>
      <c r="H140" s="14" t="str">
        <f t="shared" ca="1" si="3"/>
        <v>贝七</v>
      </c>
    </row>
    <row r="141" spans="1:8">
      <c r="A141" s="18" t="s">
        <v>59</v>
      </c>
      <c r="B141" s="18" t="s">
        <v>58</v>
      </c>
      <c r="F141" s="14" t="str">
        <f ca="1">IF(OR(OR($A141="",$B141=""),AND($C141&lt;&gt;"",$D141&lt;&gt;"")),"",VLOOKUP(A141,IF({1,0},INDIRECT("达修波得!$"&amp;$E$1&amp;"$2:$"&amp;$E$1&amp;"$15"),达修波得!$A$2:$A$15),2,FALSE))</f>
        <v>二</v>
      </c>
      <c r="G141" s="14" t="str">
        <f ca="1">IF(OR(OR($A141="",$B141=""),AND($C141&lt;&gt;"",$D141&lt;&gt;"")),"",VLOOKUP(B141,IF({1,0},INDIRECT("达修波得!$"&amp;$E$1&amp;"$2:$"&amp;$E$1&amp;"$15"),达修波得!$A$2:$A$15),2,FALSE))</f>
        <v>爷</v>
      </c>
      <c r="H141" s="14" t="str">
        <f t="shared" ca="1" si="3"/>
        <v>二爷</v>
      </c>
    </row>
    <row r="142" spans="1:8">
      <c r="A142" s="18" t="s">
        <v>65</v>
      </c>
      <c r="B142" s="18" t="s">
        <v>57</v>
      </c>
      <c r="F142" s="14" t="str">
        <f ca="1">IF(OR(OR($A142="",$B142=""),AND($C142&lt;&gt;"",$D142&lt;&gt;"")),"",VLOOKUP(A142,IF({1,0},INDIRECT("达修波得!$"&amp;$E$1&amp;"$2:$"&amp;$E$1&amp;"$15"),达修波得!$A$2:$A$15),2,FALSE))</f>
        <v>磊</v>
      </c>
      <c r="G142" s="14" t="str">
        <f ca="1">IF(OR(OR($A142="",$B142=""),AND($C142&lt;&gt;"",$D142&lt;&gt;"")),"",VLOOKUP(B142,IF({1,0},INDIRECT("达修波得!$"&amp;$E$1&amp;"$2:$"&amp;$E$1&amp;"$15"),达修波得!$A$2:$A$15),2,FALSE))</f>
        <v>黑</v>
      </c>
      <c r="H142" s="14" t="str">
        <f t="shared" ca="1" si="3"/>
        <v>磊黑</v>
      </c>
    </row>
    <row r="143" spans="1:8">
      <c r="A143" s="18" t="s">
        <v>70</v>
      </c>
      <c r="B143" s="18" t="s">
        <v>62</v>
      </c>
      <c r="F143" s="14" t="str">
        <f ca="1">IF(OR(OR($A143="",$B143=""),AND($C143&lt;&gt;"",$D143&lt;&gt;"")),"",VLOOKUP(A143,IF({1,0},INDIRECT("达修波得!$"&amp;$E$1&amp;"$2:$"&amp;$E$1&amp;"$15"),达修波得!$A$2:$A$15),2,FALSE))</f>
        <v>宇</v>
      </c>
      <c r="G143" s="14" t="str">
        <f ca="1">IF(OR(OR($A143="",$B143=""),AND($C143&lt;&gt;"",$D143&lt;&gt;"")),"",VLOOKUP(B143,IF({1,0},INDIRECT("达修波得!$"&amp;$E$1&amp;"$2:$"&amp;$E$1&amp;"$15"),达修波得!$A$2:$A$15),2,FALSE))</f>
        <v>七</v>
      </c>
      <c r="H143" s="14" t="str">
        <f t="shared" ca="1" si="3"/>
        <v>宇七</v>
      </c>
    </row>
    <row r="144" spans="1:8">
      <c r="A144" s="18" t="s">
        <v>60</v>
      </c>
      <c r="B144" s="18" t="s">
        <v>69</v>
      </c>
      <c r="F144" s="14" t="str">
        <f ca="1">IF(OR(OR($A144="",$B144=""),AND($C144&lt;&gt;"",$D144&lt;&gt;"")),"",VLOOKUP(A144,IF({1,0},INDIRECT("达修波得!$"&amp;$E$1&amp;"$2:$"&amp;$E$1&amp;"$15"),达修波得!$A$2:$A$15),2,FALSE))</f>
        <v>黑</v>
      </c>
      <c r="G144" s="14" t="str">
        <f ca="1">IF(OR(OR($A144="",$B144=""),AND($C144&lt;&gt;"",$D144&lt;&gt;"")),"",VLOOKUP(B144,IF({1,0},INDIRECT("达修波得!$"&amp;$E$1&amp;"$2:$"&amp;$E$1&amp;"$15"),达修波得!$A$2:$A$15),2,FALSE))</f>
        <v>爷</v>
      </c>
      <c r="H144" s="14" t="str">
        <f t="shared" ca="1" si="3"/>
        <v>黑爷</v>
      </c>
    </row>
    <row r="145" spans="1:8">
      <c r="A145" s="26" t="s">
        <v>48</v>
      </c>
      <c r="F145" s="14" t="str">
        <f ca="1">IF(OR(OR($A145="",$B145=""),AND($C145&lt;&gt;"",$D145&lt;&gt;"")),"",VLOOKUP(A145,IF({1,0},INDIRECT("达修波得!$"&amp;$E$1&amp;"$2:$"&amp;$E$1&amp;"$15"),达修波得!$A$2:$A$15),2,FALSE))</f>
        <v/>
      </c>
      <c r="G145" s="14" t="str">
        <f ca="1">IF(OR(OR($A145="",$B145=""),AND($C145&lt;&gt;"",$D145&lt;&gt;"")),"",VLOOKUP(B145,IF({1,0},INDIRECT("达修波得!$"&amp;$E$1&amp;"$2:$"&amp;$E$1&amp;"$15"),达修波得!$A$2:$A$15),2,FALSE))</f>
        <v/>
      </c>
      <c r="H145" s="14" t="str">
        <f t="shared" ca="1" si="3"/>
        <v/>
      </c>
    </row>
    <row r="146" spans="1:8">
      <c r="A146" s="18" t="s">
        <v>61</v>
      </c>
      <c r="B146" s="18" t="s">
        <v>56</v>
      </c>
      <c r="F146" s="14" t="str">
        <f ca="1">IF(OR(OR($A146="",$B146=""),AND($C146&lt;&gt;"",$D146&lt;&gt;"")),"",VLOOKUP(A146,IF({1,0},INDIRECT("达修波得!$"&amp;$E$1&amp;"$2:$"&amp;$E$1&amp;"$15"),达修波得!$A$2:$A$15),2,FALSE))</f>
        <v>贝</v>
      </c>
      <c r="G146" s="14" t="str">
        <f ca="1">IF(OR(OR($A146="",$B146=""),AND($C146&lt;&gt;"",$D146&lt;&gt;"")),"",VLOOKUP(B146,IF({1,0},INDIRECT("达修波得!$"&amp;$E$1&amp;"$2:$"&amp;$E$1&amp;"$15"),达修波得!$A$2:$A$15),2,FALSE))</f>
        <v>宇</v>
      </c>
      <c r="H146" s="14" t="str">
        <f t="shared" ca="1" si="3"/>
        <v>贝宇</v>
      </c>
    </row>
    <row r="147" spans="1:8">
      <c r="A147" s="18" t="s">
        <v>64</v>
      </c>
      <c r="B147" s="18" t="s">
        <v>67</v>
      </c>
      <c r="F147" s="14" t="str">
        <f ca="1">IF(OR(OR($A147="",$B147=""),AND($C147&lt;&gt;"",$D147&lt;&gt;"")),"",VLOOKUP(A147,IF({1,0},INDIRECT("达修波得!$"&amp;$E$1&amp;"$2:$"&amp;$E$1&amp;"$15"),达修波得!$A$2:$A$15),2,FALSE))</f>
        <v>贝</v>
      </c>
      <c r="G147" s="14" t="str">
        <f ca="1">IF(OR(OR($A147="",$B147=""),AND($C147&lt;&gt;"",$D147&lt;&gt;"")),"",VLOOKUP(B147,IF({1,0},INDIRECT("达修波得!$"&amp;$E$1&amp;"$2:$"&amp;$E$1&amp;"$15"),达修波得!$A$2:$A$15),2,FALSE))</f>
        <v>磊</v>
      </c>
      <c r="H147" s="14" t="str">
        <f t="shared" ca="1" si="3"/>
        <v>贝磊</v>
      </c>
    </row>
    <row r="148" spans="1:8">
      <c r="A148" s="18" t="s">
        <v>59</v>
      </c>
      <c r="B148" s="18" t="s">
        <v>68</v>
      </c>
      <c r="F148" s="14" t="str">
        <f ca="1">IF(OR(OR($A148="",$B148=""),AND($C148&lt;&gt;"",$D148&lt;&gt;"")),"",VLOOKUP(A148,IF({1,0},INDIRECT("达修波得!$"&amp;$E$1&amp;"$2:$"&amp;$E$1&amp;"$15"),达修波得!$A$2:$A$15),2,FALSE))</f>
        <v>二</v>
      </c>
      <c r="G148" s="14" t="str">
        <f ca="1">IF(OR(OR($A148="",$B148=""),AND($C148&lt;&gt;"",$D148&lt;&gt;"")),"",VLOOKUP(B148,IF({1,0},INDIRECT("达修波得!$"&amp;$E$1&amp;"$2:$"&amp;$E$1&amp;"$15"),达修波得!$A$2:$A$15),2,FALSE))</f>
        <v>二</v>
      </c>
      <c r="H148" s="14" t="str">
        <f t="shared" ca="1" si="3"/>
        <v>二二</v>
      </c>
    </row>
    <row r="149" spans="1:8">
      <c r="A149" s="18" t="s">
        <v>65</v>
      </c>
      <c r="B149" s="18" t="s">
        <v>66</v>
      </c>
      <c r="F149" s="14" t="str">
        <f ca="1">IF(OR(OR($A149="",$B149=""),AND($C149&lt;&gt;"",$D149&lt;&gt;"")),"",VLOOKUP(A149,IF({1,0},INDIRECT("达修波得!$"&amp;$E$1&amp;"$2:$"&amp;$E$1&amp;"$15"),达修波得!$A$2:$A$15),2,FALSE))</f>
        <v>磊</v>
      </c>
      <c r="G149" s="14" t="str">
        <f ca="1">IF(OR(OR($A149="",$B149=""),AND($C149&lt;&gt;"",$D149&lt;&gt;"")),"",VLOOKUP(B149,IF({1,0},INDIRECT("达修波得!$"&amp;$E$1&amp;"$2:$"&amp;$E$1&amp;"$15"),达修波得!$A$2:$A$15),2,FALSE))</f>
        <v>七</v>
      </c>
      <c r="H149" s="14" t="str">
        <f t="shared" ca="1" si="3"/>
        <v>磊七</v>
      </c>
    </row>
    <row r="150" spans="1:8">
      <c r="A150" s="18" t="s">
        <v>70</v>
      </c>
      <c r="B150" s="18" t="s">
        <v>58</v>
      </c>
      <c r="F150" s="14" t="str">
        <f ca="1">IF(OR(OR($A150="",$B150=""),AND($C150&lt;&gt;"",$D150&lt;&gt;"")),"",VLOOKUP(A150,IF({1,0},INDIRECT("达修波得!$"&amp;$E$1&amp;"$2:$"&amp;$E$1&amp;"$15"),达修波得!$A$2:$A$15),2,FALSE))</f>
        <v>宇</v>
      </c>
      <c r="G150" s="14" t="str">
        <f ca="1">IF(OR(OR($A150="",$B150=""),AND($C150&lt;&gt;"",$D150&lt;&gt;"")),"",VLOOKUP(B150,IF({1,0},INDIRECT("达修波得!$"&amp;$E$1&amp;"$2:$"&amp;$E$1&amp;"$15"),达修波得!$A$2:$A$15),2,FALSE))</f>
        <v>爷</v>
      </c>
      <c r="H150" s="14" t="str">
        <f t="shared" ca="1" si="3"/>
        <v>宇爷</v>
      </c>
    </row>
    <row r="151" spans="1:8">
      <c r="A151" s="18" t="s">
        <v>60</v>
      </c>
      <c r="B151" s="18" t="s">
        <v>57</v>
      </c>
      <c r="F151" s="14" t="str">
        <f ca="1">IF(OR(OR($A151="",$B151=""),AND($C151&lt;&gt;"",$D151&lt;&gt;"")),"",VLOOKUP(A151,IF({1,0},INDIRECT("达修波得!$"&amp;$E$1&amp;"$2:$"&amp;$E$1&amp;"$15"),达修波得!$A$2:$A$15),2,FALSE))</f>
        <v>黑</v>
      </c>
      <c r="G151" s="14" t="str">
        <f ca="1">IF(OR(OR($A151="",$B151=""),AND($C151&lt;&gt;"",$D151&lt;&gt;"")),"",VLOOKUP(B151,IF({1,0},INDIRECT("达修波得!$"&amp;$E$1&amp;"$2:$"&amp;$E$1&amp;"$15"),达修波得!$A$2:$A$15),2,FALSE))</f>
        <v>黑</v>
      </c>
      <c r="H151" s="14" t="str">
        <f t="shared" ca="1" si="3"/>
        <v>黑黑</v>
      </c>
    </row>
    <row r="152" spans="1:8">
      <c r="A152" s="18" t="s">
        <v>69</v>
      </c>
      <c r="B152" s="18" t="s">
        <v>62</v>
      </c>
      <c r="F152" s="14" t="str">
        <f ca="1">IF(OR(OR($A152="",$B152=""),AND($C152&lt;&gt;"",$D152&lt;&gt;"")),"",VLOOKUP(A152,IF({1,0},INDIRECT("达修波得!$"&amp;$E$1&amp;"$2:$"&amp;$E$1&amp;"$15"),达修波得!$A$2:$A$15),2,FALSE))</f>
        <v>爷</v>
      </c>
      <c r="G152" s="14" t="str">
        <f ca="1">IF(OR(OR($A152="",$B152=""),AND($C152&lt;&gt;"",$D152&lt;&gt;"")),"",VLOOKUP(B152,IF({1,0},INDIRECT("达修波得!$"&amp;$E$1&amp;"$2:$"&amp;$E$1&amp;"$15"),达修波得!$A$2:$A$15),2,FALSE))</f>
        <v>七</v>
      </c>
      <c r="H152" s="14" t="str">
        <f t="shared" ca="1" si="3"/>
        <v>爷七</v>
      </c>
    </row>
    <row r="153" spans="1:8">
      <c r="A153" s="26" t="s">
        <v>49</v>
      </c>
      <c r="F153" s="14" t="str">
        <f ca="1">IF(OR(OR($A153="",$B153=""),AND($C153&lt;&gt;"",$D153&lt;&gt;"")),"",VLOOKUP(A153,IF({1,0},INDIRECT("达修波得!$"&amp;$E$1&amp;"$2:$"&amp;$E$1&amp;"$15"),达修波得!$A$2:$A$15),2,FALSE))</f>
        <v/>
      </c>
      <c r="G153" s="14" t="str">
        <f ca="1">IF(OR(OR($A153="",$B153=""),AND($C153&lt;&gt;"",$D153&lt;&gt;"")),"",VLOOKUP(B153,IF({1,0},INDIRECT("达修波得!$"&amp;$E$1&amp;"$2:$"&amp;$E$1&amp;"$15"),达修波得!$A$2:$A$15),2,FALSE))</f>
        <v/>
      </c>
      <c r="H153" s="14" t="str">
        <f t="shared" ca="1" si="3"/>
        <v/>
      </c>
    </row>
    <row r="154" spans="1:8">
      <c r="A154" s="18" t="s">
        <v>64</v>
      </c>
      <c r="B154" s="18" t="s">
        <v>56</v>
      </c>
      <c r="F154" s="14" t="str">
        <f ca="1">IF(OR(OR($A154="",$B154=""),AND($C154&lt;&gt;"",$D154&lt;&gt;"")),"",VLOOKUP(A154,IF({1,0},INDIRECT("达修波得!$"&amp;$E$1&amp;"$2:$"&amp;$E$1&amp;"$15"),达修波得!$A$2:$A$15),2,FALSE))</f>
        <v>贝</v>
      </c>
      <c r="G154" s="14" t="str">
        <f ca="1">IF(OR(OR($A154="",$B154=""),AND($C154&lt;&gt;"",$D154&lt;&gt;"")),"",VLOOKUP(B154,IF({1,0},INDIRECT("达修波得!$"&amp;$E$1&amp;"$2:$"&amp;$E$1&amp;"$15"),达修波得!$A$2:$A$15),2,FALSE))</f>
        <v>宇</v>
      </c>
      <c r="H154" s="14" t="str">
        <f t="shared" ca="1" si="3"/>
        <v>贝宇</v>
      </c>
    </row>
    <row r="155" spans="1:8">
      <c r="A155" s="18" t="s">
        <v>59</v>
      </c>
      <c r="B155" s="18" t="s">
        <v>61</v>
      </c>
      <c r="F155" s="14" t="str">
        <f ca="1">IF(OR(OR($A155="",$B155=""),AND($C155&lt;&gt;"",$D155&lt;&gt;"")),"",VLOOKUP(A155,IF({1,0},INDIRECT("达修波得!$"&amp;$E$1&amp;"$2:$"&amp;$E$1&amp;"$15"),达修波得!$A$2:$A$15),2,FALSE))</f>
        <v>二</v>
      </c>
      <c r="G155" s="14" t="str">
        <f ca="1">IF(OR(OR($A155="",$B155=""),AND($C155&lt;&gt;"",$D155&lt;&gt;"")),"",VLOOKUP(B155,IF({1,0},INDIRECT("达修波得!$"&amp;$E$1&amp;"$2:$"&amp;$E$1&amp;"$15"),达修波得!$A$2:$A$15),2,FALSE))</f>
        <v>贝</v>
      </c>
      <c r="H155" s="14" t="str">
        <f t="shared" ca="1" si="3"/>
        <v>二贝</v>
      </c>
    </row>
    <row r="156" spans="1:8">
      <c r="A156" s="18" t="s">
        <v>65</v>
      </c>
      <c r="B156" s="18" t="s">
        <v>67</v>
      </c>
      <c r="F156" s="14" t="str">
        <f ca="1">IF(OR(OR($A156="",$B156=""),AND($C156&lt;&gt;"",$D156&lt;&gt;"")),"",VLOOKUP(A156,IF({1,0},INDIRECT("达修波得!$"&amp;$E$1&amp;"$2:$"&amp;$E$1&amp;"$15"),达修波得!$A$2:$A$15),2,FALSE))</f>
        <v>磊</v>
      </c>
      <c r="G156" s="14" t="str">
        <f ca="1">IF(OR(OR($A156="",$B156=""),AND($C156&lt;&gt;"",$D156&lt;&gt;"")),"",VLOOKUP(B156,IF({1,0},INDIRECT("达修波得!$"&amp;$E$1&amp;"$2:$"&amp;$E$1&amp;"$15"),达修波得!$A$2:$A$15),2,FALSE))</f>
        <v>磊</v>
      </c>
      <c r="H156" s="14" t="str">
        <f t="shared" ca="1" si="3"/>
        <v>磊磊</v>
      </c>
    </row>
    <row r="157" spans="1:8">
      <c r="A157" s="18" t="s">
        <v>70</v>
      </c>
      <c r="B157" s="18" t="s">
        <v>68</v>
      </c>
      <c r="F157" s="14" t="str">
        <f ca="1">IF(OR(OR($A157="",$B157=""),AND($C157&lt;&gt;"",$D157&lt;&gt;"")),"",VLOOKUP(A157,IF({1,0},INDIRECT("达修波得!$"&amp;$E$1&amp;"$2:$"&amp;$E$1&amp;"$15"),达修波得!$A$2:$A$15),2,FALSE))</f>
        <v>宇</v>
      </c>
      <c r="G157" s="14" t="str">
        <f ca="1">IF(OR(OR($A157="",$B157=""),AND($C157&lt;&gt;"",$D157&lt;&gt;"")),"",VLOOKUP(B157,IF({1,0},INDIRECT("达修波得!$"&amp;$E$1&amp;"$2:$"&amp;$E$1&amp;"$15"),达修波得!$A$2:$A$15),2,FALSE))</f>
        <v>二</v>
      </c>
      <c r="H157" s="14" t="str">
        <f t="shared" ca="1" si="3"/>
        <v>宇二</v>
      </c>
    </row>
    <row r="158" spans="1:8">
      <c r="A158" s="18" t="s">
        <v>60</v>
      </c>
      <c r="B158" s="18" t="s">
        <v>66</v>
      </c>
      <c r="F158" s="14" t="str">
        <f ca="1">IF(OR(OR($A158="",$B158=""),AND($C158&lt;&gt;"",$D158&lt;&gt;"")),"",VLOOKUP(A158,IF({1,0},INDIRECT("达修波得!$"&amp;$E$1&amp;"$2:$"&amp;$E$1&amp;"$15"),达修波得!$A$2:$A$15),2,FALSE))</f>
        <v>黑</v>
      </c>
      <c r="G158" s="14" t="str">
        <f ca="1">IF(OR(OR($A158="",$B158=""),AND($C158&lt;&gt;"",$D158&lt;&gt;"")),"",VLOOKUP(B158,IF({1,0},INDIRECT("达修波得!$"&amp;$E$1&amp;"$2:$"&amp;$E$1&amp;"$15"),达修波得!$A$2:$A$15),2,FALSE))</f>
        <v>七</v>
      </c>
      <c r="H158" s="14" t="str">
        <f t="shared" ca="1" si="3"/>
        <v>黑七</v>
      </c>
    </row>
    <row r="159" spans="1:8">
      <c r="A159" s="18" t="s">
        <v>69</v>
      </c>
      <c r="B159" s="18" t="s">
        <v>58</v>
      </c>
      <c r="F159" s="14" t="str">
        <f ca="1">IF(OR(OR($A159="",$B159=""),AND($C159&lt;&gt;"",$D159&lt;&gt;"")),"",VLOOKUP(A159,IF({1,0},INDIRECT("达修波得!$"&amp;$E$1&amp;"$2:$"&amp;$E$1&amp;"$15"),达修波得!$A$2:$A$15),2,FALSE))</f>
        <v>爷</v>
      </c>
      <c r="G159" s="14" t="str">
        <f ca="1">IF(OR(OR($A159="",$B159=""),AND($C159&lt;&gt;"",$D159&lt;&gt;"")),"",VLOOKUP(B159,IF({1,0},INDIRECT("达修波得!$"&amp;$E$1&amp;"$2:$"&amp;$E$1&amp;"$15"),达修波得!$A$2:$A$15),2,FALSE))</f>
        <v>爷</v>
      </c>
      <c r="H159" s="14" t="str">
        <f t="shared" ca="1" si="3"/>
        <v>爷爷</v>
      </c>
    </row>
    <row r="160" spans="1:8">
      <c r="A160" s="18" t="s">
        <v>62</v>
      </c>
      <c r="B160" s="18" t="s">
        <v>57</v>
      </c>
      <c r="F160" s="14" t="str">
        <f ca="1">IF(OR(OR($A160="",$B160=""),AND($C160&lt;&gt;"",$D160&lt;&gt;"")),"",VLOOKUP(A160,IF({1,0},INDIRECT("达修波得!$"&amp;$E$1&amp;"$2:$"&amp;$E$1&amp;"$15"),达修波得!$A$2:$A$15),2,FALSE))</f>
        <v>七</v>
      </c>
      <c r="G160" s="14" t="str">
        <f ca="1">IF(OR(OR($A160="",$B160=""),AND($C160&lt;&gt;"",$D160&lt;&gt;"")),"",VLOOKUP(B160,IF({1,0},INDIRECT("达修波得!$"&amp;$E$1&amp;"$2:$"&amp;$E$1&amp;"$15"),达修波得!$A$2:$A$15),2,FALSE))</f>
        <v>黑</v>
      </c>
      <c r="H160" s="14" t="str">
        <f t="shared" ca="1" si="3"/>
        <v>七黑</v>
      </c>
    </row>
    <row r="161" spans="1:8">
      <c r="A161" s="26" t="s">
        <v>50</v>
      </c>
      <c r="F161" s="14" t="str">
        <f ca="1">IF(OR(OR($A161="",$B161=""),AND($C161&lt;&gt;"",$D161&lt;&gt;"")),"",VLOOKUP(A161,IF({1,0},INDIRECT("达修波得!$"&amp;$E$1&amp;"$2:$"&amp;$E$1&amp;"$15"),达修波得!$A$2:$A$15),2,FALSE))</f>
        <v/>
      </c>
      <c r="G161" s="14" t="str">
        <f ca="1">IF(OR(OR($A161="",$B161=""),AND($C161&lt;&gt;"",$D161&lt;&gt;"")),"",VLOOKUP(B161,IF({1,0},INDIRECT("达修波得!$"&amp;$E$1&amp;"$2:$"&amp;$E$1&amp;"$15"),达修波得!$A$2:$A$15),2,FALSE))</f>
        <v/>
      </c>
      <c r="H161" s="14" t="str">
        <f t="shared" ca="1" si="3"/>
        <v/>
      </c>
    </row>
    <row r="162" spans="1:8">
      <c r="A162" s="18" t="s">
        <v>59</v>
      </c>
      <c r="B162" s="18" t="s">
        <v>56</v>
      </c>
      <c r="F162" s="14" t="str">
        <f ca="1">IF(OR(OR($A162="",$B162=""),AND($C162&lt;&gt;"",$D162&lt;&gt;"")),"",VLOOKUP(A162,IF({1,0},INDIRECT("达修波得!$"&amp;$E$1&amp;"$2:$"&amp;$E$1&amp;"$15"),达修波得!$A$2:$A$15),2,FALSE))</f>
        <v>二</v>
      </c>
      <c r="G162" s="14" t="str">
        <f ca="1">IF(OR(OR($A162="",$B162=""),AND($C162&lt;&gt;"",$D162&lt;&gt;"")),"",VLOOKUP(B162,IF({1,0},INDIRECT("达修波得!$"&amp;$E$1&amp;"$2:$"&amp;$E$1&amp;"$15"),达修波得!$A$2:$A$15),2,FALSE))</f>
        <v>宇</v>
      </c>
      <c r="H162" s="14" t="str">
        <f t="shared" ca="1" si="3"/>
        <v>二宇</v>
      </c>
    </row>
    <row r="163" spans="1:8">
      <c r="A163" s="18" t="s">
        <v>65</v>
      </c>
      <c r="B163" s="18" t="s">
        <v>64</v>
      </c>
      <c r="F163" s="14" t="str">
        <f ca="1">IF(OR(OR($A163="",$B163=""),AND($C163&lt;&gt;"",$D163&lt;&gt;"")),"",VLOOKUP(A163,IF({1,0},INDIRECT("达修波得!$"&amp;$E$1&amp;"$2:$"&amp;$E$1&amp;"$15"),达修波得!$A$2:$A$15),2,FALSE))</f>
        <v>磊</v>
      </c>
      <c r="G163" s="14" t="str">
        <f ca="1">IF(OR(OR($A163="",$B163=""),AND($C163&lt;&gt;"",$D163&lt;&gt;"")),"",VLOOKUP(B163,IF({1,0},INDIRECT("达修波得!$"&amp;$E$1&amp;"$2:$"&amp;$E$1&amp;"$15"),达修波得!$A$2:$A$15),2,FALSE))</f>
        <v>贝</v>
      </c>
      <c r="H163" s="14" t="str">
        <f t="shared" ca="1" si="3"/>
        <v>磊贝</v>
      </c>
    </row>
    <row r="164" spans="1:8">
      <c r="A164" s="18" t="s">
        <v>70</v>
      </c>
      <c r="B164" s="18" t="s">
        <v>61</v>
      </c>
      <c r="F164" s="14" t="str">
        <f ca="1">IF(OR(OR($A164="",$B164=""),AND($C164&lt;&gt;"",$D164&lt;&gt;"")),"",VLOOKUP(A164,IF({1,0},INDIRECT("达修波得!$"&amp;$E$1&amp;"$2:$"&amp;$E$1&amp;"$15"),达修波得!$A$2:$A$15),2,FALSE))</f>
        <v>宇</v>
      </c>
      <c r="G164" s="14" t="str">
        <f ca="1">IF(OR(OR($A164="",$B164=""),AND($C164&lt;&gt;"",$D164&lt;&gt;"")),"",VLOOKUP(B164,IF({1,0},INDIRECT("达修波得!$"&amp;$E$1&amp;"$2:$"&amp;$E$1&amp;"$15"),达修波得!$A$2:$A$15),2,FALSE))</f>
        <v>贝</v>
      </c>
      <c r="H164" s="14" t="str">
        <f t="shared" ca="1" si="3"/>
        <v>宇贝</v>
      </c>
    </row>
    <row r="165" spans="1:8">
      <c r="A165" s="18" t="s">
        <v>60</v>
      </c>
      <c r="B165" s="18" t="s">
        <v>67</v>
      </c>
      <c r="F165" s="14" t="str">
        <f ca="1">IF(OR(OR($A165="",$B165=""),AND($C165&lt;&gt;"",$D165&lt;&gt;"")),"",VLOOKUP(A165,IF({1,0},INDIRECT("达修波得!$"&amp;$E$1&amp;"$2:$"&amp;$E$1&amp;"$15"),达修波得!$A$2:$A$15),2,FALSE))</f>
        <v>黑</v>
      </c>
      <c r="G165" s="14" t="str">
        <f ca="1">IF(OR(OR($A165="",$B165=""),AND($C165&lt;&gt;"",$D165&lt;&gt;"")),"",VLOOKUP(B165,IF({1,0},INDIRECT("达修波得!$"&amp;$E$1&amp;"$2:$"&amp;$E$1&amp;"$15"),达修波得!$A$2:$A$15),2,FALSE))</f>
        <v>磊</v>
      </c>
      <c r="H165" s="14" t="str">
        <f t="shared" ca="1" si="3"/>
        <v>黑磊</v>
      </c>
    </row>
    <row r="166" spans="1:8">
      <c r="A166" s="18" t="s">
        <v>69</v>
      </c>
      <c r="B166" s="18" t="s">
        <v>68</v>
      </c>
      <c r="F166" s="14" t="str">
        <f ca="1">IF(OR(OR($A166="",$B166=""),AND($C166&lt;&gt;"",$D166&lt;&gt;"")),"",VLOOKUP(A166,IF({1,0},INDIRECT("达修波得!$"&amp;$E$1&amp;"$2:$"&amp;$E$1&amp;"$15"),达修波得!$A$2:$A$15),2,FALSE))</f>
        <v>爷</v>
      </c>
      <c r="G166" s="14" t="str">
        <f ca="1">IF(OR(OR($A166="",$B166=""),AND($C166&lt;&gt;"",$D166&lt;&gt;"")),"",VLOOKUP(B166,IF({1,0},INDIRECT("达修波得!$"&amp;$E$1&amp;"$2:$"&amp;$E$1&amp;"$15"),达修波得!$A$2:$A$15),2,FALSE))</f>
        <v>二</v>
      </c>
      <c r="H166" s="14" t="str">
        <f t="shared" ca="1" si="3"/>
        <v>爷二</v>
      </c>
    </row>
    <row r="167" spans="1:8">
      <c r="A167" s="18" t="s">
        <v>62</v>
      </c>
      <c r="B167" s="18" t="s">
        <v>66</v>
      </c>
      <c r="F167" s="14" t="str">
        <f ca="1">IF(OR(OR($A167="",$B167=""),AND($C167&lt;&gt;"",$D167&lt;&gt;"")),"",VLOOKUP(A167,IF({1,0},INDIRECT("达修波得!$"&amp;$E$1&amp;"$2:$"&amp;$E$1&amp;"$15"),达修波得!$A$2:$A$15),2,FALSE))</f>
        <v>七</v>
      </c>
      <c r="G167" s="14" t="str">
        <f ca="1">IF(OR(OR($A167="",$B167=""),AND($C167&lt;&gt;"",$D167&lt;&gt;"")),"",VLOOKUP(B167,IF({1,0},INDIRECT("达修波得!$"&amp;$E$1&amp;"$2:$"&amp;$E$1&amp;"$15"),达修波得!$A$2:$A$15),2,FALSE))</f>
        <v>七</v>
      </c>
      <c r="H167" s="14" t="str">
        <f t="shared" ca="1" si="3"/>
        <v>七七</v>
      </c>
    </row>
    <row r="168" spans="1:8">
      <c r="A168" s="18" t="s">
        <v>57</v>
      </c>
      <c r="B168" s="18" t="s">
        <v>58</v>
      </c>
      <c r="F168" s="14" t="str">
        <f ca="1">IF(OR(OR($A168="",$B168=""),AND($C168&lt;&gt;"",$D168&lt;&gt;"")),"",VLOOKUP(A168,IF({1,0},INDIRECT("达修波得!$"&amp;$E$1&amp;"$2:$"&amp;$E$1&amp;"$15"),达修波得!$A$2:$A$15),2,FALSE))</f>
        <v>黑</v>
      </c>
      <c r="G168" s="14" t="str">
        <f ca="1">IF(OR(OR($A168="",$B168=""),AND($C168&lt;&gt;"",$D168&lt;&gt;"")),"",VLOOKUP(B168,IF({1,0},INDIRECT("达修波得!$"&amp;$E$1&amp;"$2:$"&amp;$E$1&amp;"$15"),达修波得!$A$2:$A$15),2,FALSE))</f>
        <v>爷</v>
      </c>
      <c r="H168" s="14" t="str">
        <f t="shared" ca="1" si="3"/>
        <v>黑爷</v>
      </c>
    </row>
    <row r="169" spans="1:8">
      <c r="A169" s="26" t="s">
        <v>51</v>
      </c>
      <c r="F169" s="14" t="str">
        <f ca="1">IF(OR(OR($A169="",$B169=""),AND($C169&lt;&gt;"",$D169&lt;&gt;"")),"",VLOOKUP(A169,IF({1,0},INDIRECT("达修波得!$"&amp;$E$1&amp;"$2:$"&amp;$E$1&amp;"$15"),达修波得!$A$2:$A$15),2,FALSE))</f>
        <v/>
      </c>
      <c r="G169" s="14" t="str">
        <f ca="1">IF(OR(OR($A169="",$B169=""),AND($C169&lt;&gt;"",$D169&lt;&gt;"")),"",VLOOKUP(B169,IF({1,0},INDIRECT("达修波得!$"&amp;$E$1&amp;"$2:$"&amp;$E$1&amp;"$15"),达修波得!$A$2:$A$15),2,FALSE))</f>
        <v/>
      </c>
      <c r="H169" s="14" t="str">
        <f t="shared" ca="1" si="3"/>
        <v/>
      </c>
    </row>
    <row r="170" spans="1:8">
      <c r="A170" s="18" t="s">
        <v>65</v>
      </c>
      <c r="B170" s="18" t="s">
        <v>56</v>
      </c>
      <c r="F170" s="14" t="str">
        <f ca="1">IF(OR(OR($A170="",$B170=""),AND($C170&lt;&gt;"",$D170&lt;&gt;"")),"",VLOOKUP(A170,IF({1,0},INDIRECT("达修波得!$"&amp;$E$1&amp;"$2:$"&amp;$E$1&amp;"$15"),达修波得!$A$2:$A$15),2,FALSE))</f>
        <v>磊</v>
      </c>
      <c r="G170" s="14" t="str">
        <f ca="1">IF(OR(OR($A170="",$B170=""),AND($C170&lt;&gt;"",$D170&lt;&gt;"")),"",VLOOKUP(B170,IF({1,0},INDIRECT("达修波得!$"&amp;$E$1&amp;"$2:$"&amp;$E$1&amp;"$15"),达修波得!$A$2:$A$15),2,FALSE))</f>
        <v>宇</v>
      </c>
      <c r="H170" s="14" t="str">
        <f t="shared" ca="1" si="3"/>
        <v>磊宇</v>
      </c>
    </row>
    <row r="171" spans="1:8">
      <c r="A171" s="18" t="s">
        <v>70</v>
      </c>
      <c r="B171" s="18" t="s">
        <v>59</v>
      </c>
      <c r="F171" s="14" t="str">
        <f ca="1">IF(OR(OR($A171="",$B171=""),AND($C171&lt;&gt;"",$D171&lt;&gt;"")),"",VLOOKUP(A171,IF({1,0},INDIRECT("达修波得!$"&amp;$E$1&amp;"$2:$"&amp;$E$1&amp;"$15"),达修波得!$A$2:$A$15),2,FALSE))</f>
        <v>宇</v>
      </c>
      <c r="G171" s="14" t="str">
        <f ca="1">IF(OR(OR($A171="",$B171=""),AND($C171&lt;&gt;"",$D171&lt;&gt;"")),"",VLOOKUP(B171,IF({1,0},INDIRECT("达修波得!$"&amp;$E$1&amp;"$2:$"&amp;$E$1&amp;"$15"),达修波得!$A$2:$A$15),2,FALSE))</f>
        <v>二</v>
      </c>
      <c r="H171" s="14" t="str">
        <f t="shared" ca="1" si="3"/>
        <v>宇二</v>
      </c>
    </row>
    <row r="172" spans="1:8">
      <c r="A172" s="18" t="s">
        <v>60</v>
      </c>
      <c r="B172" s="18" t="s">
        <v>64</v>
      </c>
      <c r="F172" s="14" t="str">
        <f ca="1">IF(OR(OR($A172="",$B172=""),AND($C172&lt;&gt;"",$D172&lt;&gt;"")),"",VLOOKUP(A172,IF({1,0},INDIRECT("达修波得!$"&amp;$E$1&amp;"$2:$"&amp;$E$1&amp;"$15"),达修波得!$A$2:$A$15),2,FALSE))</f>
        <v>黑</v>
      </c>
      <c r="G172" s="14" t="str">
        <f ca="1">IF(OR(OR($A172="",$B172=""),AND($C172&lt;&gt;"",$D172&lt;&gt;"")),"",VLOOKUP(B172,IF({1,0},INDIRECT("达修波得!$"&amp;$E$1&amp;"$2:$"&amp;$E$1&amp;"$15"),达修波得!$A$2:$A$15),2,FALSE))</f>
        <v>贝</v>
      </c>
      <c r="H172" s="14" t="str">
        <f t="shared" ca="1" si="3"/>
        <v>黑贝</v>
      </c>
    </row>
    <row r="173" spans="1:8">
      <c r="A173" s="18" t="s">
        <v>69</v>
      </c>
      <c r="B173" s="18" t="s">
        <v>61</v>
      </c>
      <c r="F173" s="14" t="str">
        <f ca="1">IF(OR(OR($A173="",$B173=""),AND($C173&lt;&gt;"",$D173&lt;&gt;"")),"",VLOOKUP(A173,IF({1,0},INDIRECT("达修波得!$"&amp;$E$1&amp;"$2:$"&amp;$E$1&amp;"$15"),达修波得!$A$2:$A$15),2,FALSE))</f>
        <v>爷</v>
      </c>
      <c r="G173" s="14" t="str">
        <f ca="1">IF(OR(OR($A173="",$B173=""),AND($C173&lt;&gt;"",$D173&lt;&gt;"")),"",VLOOKUP(B173,IF({1,0},INDIRECT("达修波得!$"&amp;$E$1&amp;"$2:$"&amp;$E$1&amp;"$15"),达修波得!$A$2:$A$15),2,FALSE))</f>
        <v>贝</v>
      </c>
      <c r="H173" s="14" t="str">
        <f t="shared" ca="1" si="3"/>
        <v>爷贝</v>
      </c>
    </row>
    <row r="174" spans="1:8">
      <c r="A174" s="18" t="s">
        <v>62</v>
      </c>
      <c r="B174" s="18" t="s">
        <v>67</v>
      </c>
      <c r="F174" s="14" t="str">
        <f ca="1">IF(OR(OR($A174="",$B174=""),AND($C174&lt;&gt;"",$D174&lt;&gt;"")),"",VLOOKUP(A174,IF({1,0},INDIRECT("达修波得!$"&amp;$E$1&amp;"$2:$"&amp;$E$1&amp;"$15"),达修波得!$A$2:$A$15),2,FALSE))</f>
        <v>七</v>
      </c>
      <c r="G174" s="14" t="str">
        <f ca="1">IF(OR(OR($A174="",$B174=""),AND($C174&lt;&gt;"",$D174&lt;&gt;"")),"",VLOOKUP(B174,IF({1,0},INDIRECT("达修波得!$"&amp;$E$1&amp;"$2:$"&amp;$E$1&amp;"$15"),达修波得!$A$2:$A$15),2,FALSE))</f>
        <v>磊</v>
      </c>
      <c r="H174" s="14" t="str">
        <f t="shared" ca="1" si="3"/>
        <v>七磊</v>
      </c>
    </row>
    <row r="175" spans="1:8">
      <c r="A175" s="18" t="s">
        <v>57</v>
      </c>
      <c r="B175" s="18" t="s">
        <v>68</v>
      </c>
      <c r="F175" s="14" t="str">
        <f ca="1">IF(OR(OR($A175="",$B175=""),AND($C175&lt;&gt;"",$D175&lt;&gt;"")),"",VLOOKUP(A175,IF({1,0},INDIRECT("达修波得!$"&amp;$E$1&amp;"$2:$"&amp;$E$1&amp;"$15"),达修波得!$A$2:$A$15),2,FALSE))</f>
        <v>黑</v>
      </c>
      <c r="G175" s="14" t="str">
        <f ca="1">IF(OR(OR($A175="",$B175=""),AND($C175&lt;&gt;"",$D175&lt;&gt;"")),"",VLOOKUP(B175,IF({1,0},INDIRECT("达修波得!$"&amp;$E$1&amp;"$2:$"&amp;$E$1&amp;"$15"),达修波得!$A$2:$A$15),2,FALSE))</f>
        <v>二</v>
      </c>
      <c r="H175" s="14" t="str">
        <f t="shared" ca="1" si="3"/>
        <v>黑二</v>
      </c>
    </row>
    <row r="176" spans="1:8">
      <c r="A176" s="18" t="s">
        <v>58</v>
      </c>
      <c r="B176" s="18" t="s">
        <v>66</v>
      </c>
      <c r="F176" s="14" t="str">
        <f ca="1">IF(OR(OR($A176="",$B176=""),AND($C176&lt;&gt;"",$D176&lt;&gt;"")),"",VLOOKUP(A176,IF({1,0},INDIRECT("达修波得!$"&amp;$E$1&amp;"$2:$"&amp;$E$1&amp;"$15"),达修波得!$A$2:$A$15),2,FALSE))</f>
        <v>爷</v>
      </c>
      <c r="G176" s="14" t="str">
        <f ca="1">IF(OR(OR($A176="",$B176=""),AND($C176&lt;&gt;"",$D176&lt;&gt;"")),"",VLOOKUP(B176,IF({1,0},INDIRECT("达修波得!$"&amp;$E$1&amp;"$2:$"&amp;$E$1&amp;"$15"),达修波得!$A$2:$A$15),2,FALSE))</f>
        <v>七</v>
      </c>
      <c r="H176" s="14" t="str">
        <f t="shared" ca="1" si="3"/>
        <v>爷七</v>
      </c>
    </row>
    <row r="177" spans="1:8">
      <c r="A177" s="26" t="s">
        <v>52</v>
      </c>
      <c r="F177" s="14" t="str">
        <f ca="1">IF(OR(OR($A177="",$B177=""),AND($C177&lt;&gt;"",$D177&lt;&gt;"")),"",VLOOKUP(A177,IF({1,0},INDIRECT("达修波得!$"&amp;$E$1&amp;"$2:$"&amp;$E$1&amp;"$15"),达修波得!$A$2:$A$15),2,FALSE))</f>
        <v/>
      </c>
      <c r="G177" s="14" t="str">
        <f ca="1">IF(OR(OR($A177="",$B177=""),AND($C177&lt;&gt;"",$D177&lt;&gt;"")),"",VLOOKUP(B177,IF({1,0},INDIRECT("达修波得!$"&amp;$E$1&amp;"$2:$"&amp;$E$1&amp;"$15"),达修波得!$A$2:$A$15),2,FALSE))</f>
        <v/>
      </c>
      <c r="H177" s="14" t="str">
        <f t="shared" ca="1" si="3"/>
        <v/>
      </c>
    </row>
    <row r="178" spans="1:8">
      <c r="A178" s="18" t="s">
        <v>70</v>
      </c>
      <c r="B178" s="18" t="s">
        <v>56</v>
      </c>
      <c r="F178" s="14" t="str">
        <f ca="1">IF(OR(OR($A178="",$B178=""),AND($C178&lt;&gt;"",$D178&lt;&gt;"")),"",VLOOKUP(A178,IF({1,0},INDIRECT("达修波得!$"&amp;$E$1&amp;"$2:$"&amp;$E$1&amp;"$15"),达修波得!$A$2:$A$15),2,FALSE))</f>
        <v>宇</v>
      </c>
      <c r="G178" s="14" t="str">
        <f ca="1">IF(OR(OR($A178="",$B178=""),AND($C178&lt;&gt;"",$D178&lt;&gt;"")),"",VLOOKUP(B178,IF({1,0},INDIRECT("达修波得!$"&amp;$E$1&amp;"$2:$"&amp;$E$1&amp;"$15"),达修波得!$A$2:$A$15),2,FALSE))</f>
        <v>宇</v>
      </c>
      <c r="H178" s="14" t="str">
        <f t="shared" ca="1" si="3"/>
        <v>宇宇</v>
      </c>
    </row>
    <row r="179" spans="1:8">
      <c r="A179" s="18" t="s">
        <v>60</v>
      </c>
      <c r="B179" s="18" t="s">
        <v>65</v>
      </c>
      <c r="F179" s="14" t="str">
        <f ca="1">IF(OR(OR($A179="",$B179=""),AND($C179&lt;&gt;"",$D179&lt;&gt;"")),"",VLOOKUP(A179,IF({1,0},INDIRECT("达修波得!$"&amp;$E$1&amp;"$2:$"&amp;$E$1&amp;"$15"),达修波得!$A$2:$A$15),2,FALSE))</f>
        <v>黑</v>
      </c>
      <c r="G179" s="14" t="str">
        <f ca="1">IF(OR(OR($A179="",$B179=""),AND($C179&lt;&gt;"",$D179&lt;&gt;"")),"",VLOOKUP(B179,IF({1,0},INDIRECT("达修波得!$"&amp;$E$1&amp;"$2:$"&amp;$E$1&amp;"$15"),达修波得!$A$2:$A$15),2,FALSE))</f>
        <v>磊</v>
      </c>
      <c r="H179" s="14" t="str">
        <f t="shared" ca="1" si="3"/>
        <v>黑磊</v>
      </c>
    </row>
    <row r="180" spans="1:8">
      <c r="A180" s="18" t="s">
        <v>69</v>
      </c>
      <c r="B180" s="18" t="s">
        <v>59</v>
      </c>
      <c r="F180" s="14" t="str">
        <f ca="1">IF(OR(OR($A180="",$B180=""),AND($C180&lt;&gt;"",$D180&lt;&gt;"")),"",VLOOKUP(A180,IF({1,0},INDIRECT("达修波得!$"&amp;$E$1&amp;"$2:$"&amp;$E$1&amp;"$15"),达修波得!$A$2:$A$15),2,FALSE))</f>
        <v>爷</v>
      </c>
      <c r="G180" s="14" t="str">
        <f ca="1">IF(OR(OR($A180="",$B180=""),AND($C180&lt;&gt;"",$D180&lt;&gt;"")),"",VLOOKUP(B180,IF({1,0},INDIRECT("达修波得!$"&amp;$E$1&amp;"$2:$"&amp;$E$1&amp;"$15"),达修波得!$A$2:$A$15),2,FALSE))</f>
        <v>二</v>
      </c>
      <c r="H180" s="14" t="str">
        <f t="shared" ca="1" si="3"/>
        <v>爷二</v>
      </c>
    </row>
    <row r="181" spans="1:8">
      <c r="A181" s="18" t="s">
        <v>62</v>
      </c>
      <c r="B181" s="18" t="s">
        <v>64</v>
      </c>
      <c r="F181" s="14" t="str">
        <f ca="1">IF(OR(OR($A181="",$B181=""),AND($C181&lt;&gt;"",$D181&lt;&gt;"")),"",VLOOKUP(A181,IF({1,0},INDIRECT("达修波得!$"&amp;$E$1&amp;"$2:$"&amp;$E$1&amp;"$15"),达修波得!$A$2:$A$15),2,FALSE))</f>
        <v>七</v>
      </c>
      <c r="G181" s="14" t="str">
        <f ca="1">IF(OR(OR($A181="",$B181=""),AND($C181&lt;&gt;"",$D181&lt;&gt;"")),"",VLOOKUP(B181,IF({1,0},INDIRECT("达修波得!$"&amp;$E$1&amp;"$2:$"&amp;$E$1&amp;"$15"),达修波得!$A$2:$A$15),2,FALSE))</f>
        <v>贝</v>
      </c>
      <c r="H181" s="14" t="str">
        <f t="shared" ca="1" si="3"/>
        <v>七贝</v>
      </c>
    </row>
    <row r="182" spans="1:8">
      <c r="A182" s="18" t="s">
        <v>57</v>
      </c>
      <c r="B182" s="18" t="s">
        <v>61</v>
      </c>
      <c r="F182" s="14" t="str">
        <f ca="1">IF(OR(OR($A182="",$B182=""),AND($C182&lt;&gt;"",$D182&lt;&gt;"")),"",VLOOKUP(A182,IF({1,0},INDIRECT("达修波得!$"&amp;$E$1&amp;"$2:$"&amp;$E$1&amp;"$15"),达修波得!$A$2:$A$15),2,FALSE))</f>
        <v>黑</v>
      </c>
      <c r="G182" s="14" t="str">
        <f ca="1">IF(OR(OR($A182="",$B182=""),AND($C182&lt;&gt;"",$D182&lt;&gt;"")),"",VLOOKUP(B182,IF({1,0},INDIRECT("达修波得!$"&amp;$E$1&amp;"$2:$"&amp;$E$1&amp;"$15"),达修波得!$A$2:$A$15),2,FALSE))</f>
        <v>贝</v>
      </c>
      <c r="H182" s="14" t="str">
        <f t="shared" ca="1" si="3"/>
        <v>黑贝</v>
      </c>
    </row>
    <row r="183" spans="1:8">
      <c r="A183" s="18" t="s">
        <v>58</v>
      </c>
      <c r="B183" s="18" t="s">
        <v>67</v>
      </c>
      <c r="F183" s="14" t="str">
        <f ca="1">IF(OR(OR($A183="",$B183=""),AND($C183&lt;&gt;"",$D183&lt;&gt;"")),"",VLOOKUP(A183,IF({1,0},INDIRECT("达修波得!$"&amp;$E$1&amp;"$2:$"&amp;$E$1&amp;"$15"),达修波得!$A$2:$A$15),2,FALSE))</f>
        <v>爷</v>
      </c>
      <c r="G183" s="14" t="str">
        <f ca="1">IF(OR(OR($A183="",$B183=""),AND($C183&lt;&gt;"",$D183&lt;&gt;"")),"",VLOOKUP(B183,IF({1,0},INDIRECT("达修波得!$"&amp;$E$1&amp;"$2:$"&amp;$E$1&amp;"$15"),达修波得!$A$2:$A$15),2,FALSE))</f>
        <v>磊</v>
      </c>
      <c r="H183" s="14" t="str">
        <f t="shared" ca="1" si="3"/>
        <v>爷磊</v>
      </c>
    </row>
    <row r="184" spans="1:8">
      <c r="A184" s="18" t="s">
        <v>66</v>
      </c>
      <c r="B184" s="18" t="s">
        <v>68</v>
      </c>
      <c r="F184" s="14" t="str">
        <f ca="1">IF(OR(OR($A184="",$B184=""),AND($C184&lt;&gt;"",$D184&lt;&gt;"")),"",VLOOKUP(A184,IF({1,0},INDIRECT("达修波得!$"&amp;$E$1&amp;"$2:$"&amp;$E$1&amp;"$15"),达修波得!$A$2:$A$15),2,FALSE))</f>
        <v>七</v>
      </c>
      <c r="G184" s="14" t="str">
        <f ca="1">IF(OR(OR($A184="",$B184=""),AND($C184&lt;&gt;"",$D184&lt;&gt;"")),"",VLOOKUP(B184,IF({1,0},INDIRECT("达修波得!$"&amp;$E$1&amp;"$2:$"&amp;$E$1&amp;"$15"),达修波得!$A$2:$A$15),2,FALSE))</f>
        <v>二</v>
      </c>
      <c r="H184" s="14" t="str">
        <f t="shared" ca="1" si="3"/>
        <v>七二</v>
      </c>
    </row>
    <row r="185" spans="1:8">
      <c r="A185" s="26" t="s">
        <v>53</v>
      </c>
      <c r="F185" s="14" t="str">
        <f ca="1">IF(OR(OR($A185="",$B185=""),AND($C185&lt;&gt;"",$D185&lt;&gt;"")),"",VLOOKUP(A185,IF({1,0},INDIRECT("达修波得!$"&amp;$E$1&amp;"$2:$"&amp;$E$1&amp;"$15"),达修波得!$A$2:$A$15),2,FALSE))</f>
        <v/>
      </c>
      <c r="G185" s="14" t="str">
        <f ca="1">IF(OR(OR($A185="",$B185=""),AND($C185&lt;&gt;"",$D185&lt;&gt;"")),"",VLOOKUP(B185,IF({1,0},INDIRECT("达修波得!$"&amp;$E$1&amp;"$2:$"&amp;$E$1&amp;"$15"),达修波得!$A$2:$A$15),2,FALSE))</f>
        <v/>
      </c>
      <c r="H185" s="14" t="str">
        <f t="shared" ca="1" si="3"/>
        <v/>
      </c>
    </row>
    <row r="186" spans="1:8">
      <c r="A186" s="18" t="s">
        <v>60</v>
      </c>
      <c r="B186" s="18" t="s">
        <v>56</v>
      </c>
      <c r="F186" s="14" t="str">
        <f ca="1">IF(OR(OR($A186="",$B186=""),AND($C186&lt;&gt;"",$D186&lt;&gt;"")),"",VLOOKUP(A186,IF({1,0},INDIRECT("达修波得!$"&amp;$E$1&amp;"$2:$"&amp;$E$1&amp;"$15"),达修波得!$A$2:$A$15),2,FALSE))</f>
        <v>黑</v>
      </c>
      <c r="G186" s="14" t="str">
        <f ca="1">IF(OR(OR($A186="",$B186=""),AND($C186&lt;&gt;"",$D186&lt;&gt;"")),"",VLOOKUP(B186,IF({1,0},INDIRECT("达修波得!$"&amp;$E$1&amp;"$2:$"&amp;$E$1&amp;"$15"),达修波得!$A$2:$A$15),2,FALSE))</f>
        <v>宇</v>
      </c>
      <c r="H186" s="14" t="str">
        <f t="shared" ca="1" si="3"/>
        <v>黑宇</v>
      </c>
    </row>
    <row r="187" spans="1:8">
      <c r="A187" s="18" t="s">
        <v>69</v>
      </c>
      <c r="B187" s="18" t="s">
        <v>70</v>
      </c>
      <c r="F187" s="14" t="str">
        <f ca="1">IF(OR(OR($A187="",$B187=""),AND($C187&lt;&gt;"",$D187&lt;&gt;"")),"",VLOOKUP(A187,IF({1,0},INDIRECT("达修波得!$"&amp;$E$1&amp;"$2:$"&amp;$E$1&amp;"$15"),达修波得!$A$2:$A$15),2,FALSE))</f>
        <v>爷</v>
      </c>
      <c r="G187" s="14" t="str">
        <f ca="1">IF(OR(OR($A187="",$B187=""),AND($C187&lt;&gt;"",$D187&lt;&gt;"")),"",VLOOKUP(B187,IF({1,0},INDIRECT("达修波得!$"&amp;$E$1&amp;"$2:$"&amp;$E$1&amp;"$15"),达修波得!$A$2:$A$15),2,FALSE))</f>
        <v>宇</v>
      </c>
      <c r="H187" s="14" t="str">
        <f t="shared" ca="1" si="3"/>
        <v>爷宇</v>
      </c>
    </row>
    <row r="188" spans="1:8">
      <c r="A188" s="18" t="s">
        <v>62</v>
      </c>
      <c r="B188" s="18" t="s">
        <v>65</v>
      </c>
      <c r="F188" s="14" t="str">
        <f ca="1">IF(OR(OR($A188="",$B188=""),AND($C188&lt;&gt;"",$D188&lt;&gt;"")),"",VLOOKUP(A188,IF({1,0},INDIRECT("达修波得!$"&amp;$E$1&amp;"$2:$"&amp;$E$1&amp;"$15"),达修波得!$A$2:$A$15),2,FALSE))</f>
        <v>七</v>
      </c>
      <c r="G188" s="14" t="str">
        <f ca="1">IF(OR(OR($A188="",$B188=""),AND($C188&lt;&gt;"",$D188&lt;&gt;"")),"",VLOOKUP(B188,IF({1,0},INDIRECT("达修波得!$"&amp;$E$1&amp;"$2:$"&amp;$E$1&amp;"$15"),达修波得!$A$2:$A$15),2,FALSE))</f>
        <v>磊</v>
      </c>
      <c r="H188" s="14" t="str">
        <f t="shared" ca="1" si="3"/>
        <v>七磊</v>
      </c>
    </row>
    <row r="189" spans="1:8">
      <c r="A189" s="18" t="s">
        <v>57</v>
      </c>
      <c r="B189" s="18" t="s">
        <v>59</v>
      </c>
      <c r="F189" s="14" t="str">
        <f ca="1">IF(OR(OR($A189="",$B189=""),AND($C189&lt;&gt;"",$D189&lt;&gt;"")),"",VLOOKUP(A189,IF({1,0},INDIRECT("达修波得!$"&amp;$E$1&amp;"$2:$"&amp;$E$1&amp;"$15"),达修波得!$A$2:$A$15),2,FALSE))</f>
        <v>黑</v>
      </c>
      <c r="G189" s="14" t="str">
        <f ca="1">IF(OR(OR($A189="",$B189=""),AND($C189&lt;&gt;"",$D189&lt;&gt;"")),"",VLOOKUP(B189,IF({1,0},INDIRECT("达修波得!$"&amp;$E$1&amp;"$2:$"&amp;$E$1&amp;"$15"),达修波得!$A$2:$A$15),2,FALSE))</f>
        <v>二</v>
      </c>
      <c r="H189" s="14" t="str">
        <f t="shared" ca="1" si="3"/>
        <v>黑二</v>
      </c>
    </row>
    <row r="190" spans="1:8">
      <c r="A190" s="18" t="s">
        <v>58</v>
      </c>
      <c r="B190" s="18" t="s">
        <v>64</v>
      </c>
      <c r="F190" s="14" t="str">
        <f ca="1">IF(OR(OR($A190="",$B190=""),AND($C190&lt;&gt;"",$D190&lt;&gt;"")),"",VLOOKUP(A190,IF({1,0},INDIRECT("达修波得!$"&amp;$E$1&amp;"$2:$"&amp;$E$1&amp;"$15"),达修波得!$A$2:$A$15),2,FALSE))</f>
        <v>爷</v>
      </c>
      <c r="G190" s="14" t="str">
        <f ca="1">IF(OR(OR($A190="",$B190=""),AND($C190&lt;&gt;"",$D190&lt;&gt;"")),"",VLOOKUP(B190,IF({1,0},INDIRECT("达修波得!$"&amp;$E$1&amp;"$2:$"&amp;$E$1&amp;"$15"),达修波得!$A$2:$A$15),2,FALSE))</f>
        <v>贝</v>
      </c>
      <c r="H190" s="14" t="str">
        <f t="shared" ca="1" si="3"/>
        <v>爷贝</v>
      </c>
    </row>
    <row r="191" spans="1:8">
      <c r="A191" s="18" t="s">
        <v>66</v>
      </c>
      <c r="B191" s="18" t="s">
        <v>61</v>
      </c>
      <c r="F191" s="14" t="str">
        <f ca="1">IF(OR(OR($A191="",$B191=""),AND($C191&lt;&gt;"",$D191&lt;&gt;"")),"",VLOOKUP(A191,IF({1,0},INDIRECT("达修波得!$"&amp;$E$1&amp;"$2:$"&amp;$E$1&amp;"$15"),达修波得!$A$2:$A$15),2,FALSE))</f>
        <v>七</v>
      </c>
      <c r="G191" s="14" t="str">
        <f ca="1">IF(OR(OR($A191="",$B191=""),AND($C191&lt;&gt;"",$D191&lt;&gt;"")),"",VLOOKUP(B191,IF({1,0},INDIRECT("达修波得!$"&amp;$E$1&amp;"$2:$"&amp;$E$1&amp;"$15"),达修波得!$A$2:$A$15),2,FALSE))</f>
        <v>贝</v>
      </c>
      <c r="H191" s="14" t="str">
        <f t="shared" ca="1" si="3"/>
        <v>七贝</v>
      </c>
    </row>
    <row r="192" spans="1:8">
      <c r="A192" s="18" t="s">
        <v>68</v>
      </c>
      <c r="B192" s="18" t="s">
        <v>67</v>
      </c>
      <c r="F192" s="14" t="str">
        <f ca="1">IF(OR(OR($A192="",$B192=""),AND($C192&lt;&gt;"",$D192&lt;&gt;"")),"",VLOOKUP(A192,IF({1,0},INDIRECT("达修波得!$"&amp;$E$1&amp;"$2:$"&amp;$E$1&amp;"$15"),达修波得!$A$2:$A$15),2,FALSE))</f>
        <v>二</v>
      </c>
      <c r="G192" s="14" t="str">
        <f ca="1">IF(OR(OR($A192="",$B192=""),AND($C192&lt;&gt;"",$D192&lt;&gt;"")),"",VLOOKUP(B192,IF({1,0},INDIRECT("达修波得!$"&amp;$E$1&amp;"$2:$"&amp;$E$1&amp;"$15"),达修波得!$A$2:$A$15),2,FALSE))</f>
        <v>磊</v>
      </c>
      <c r="H192" s="14" t="str">
        <f t="shared" ca="1" si="3"/>
        <v>二磊</v>
      </c>
    </row>
    <row r="193" spans="1:8">
      <c r="A193" s="26" t="s">
        <v>54</v>
      </c>
      <c r="F193" s="14" t="str">
        <f ca="1">IF(OR(OR($A193="",$B193=""),AND($C193&lt;&gt;"",$D193&lt;&gt;"")),"",VLOOKUP(A193,IF({1,0},INDIRECT("达修波得!$"&amp;$E$1&amp;"$2:$"&amp;$E$1&amp;"$15"),达修波得!$A$2:$A$15),2,FALSE))</f>
        <v/>
      </c>
      <c r="G193" s="14" t="str">
        <f ca="1">IF(OR(OR($A193="",$B193=""),AND($C193&lt;&gt;"",$D193&lt;&gt;"")),"",VLOOKUP(B193,IF({1,0},INDIRECT("达修波得!$"&amp;$E$1&amp;"$2:$"&amp;$E$1&amp;"$15"),达修波得!$A$2:$A$15),2,FALSE))</f>
        <v/>
      </c>
      <c r="H193" s="14" t="str">
        <f t="shared" ca="1" si="3"/>
        <v/>
      </c>
    </row>
    <row r="194" spans="1:8">
      <c r="A194" s="18" t="s">
        <v>69</v>
      </c>
      <c r="B194" s="18" t="s">
        <v>56</v>
      </c>
      <c r="F194" s="14" t="str">
        <f ca="1">IF(OR(OR($A194="",$B194=""),AND($C194&lt;&gt;"",$D194&lt;&gt;"")),"",VLOOKUP(A194,IF({1,0},INDIRECT("达修波得!$"&amp;$E$1&amp;"$2:$"&amp;$E$1&amp;"$15"),达修波得!$A$2:$A$15),2,FALSE))</f>
        <v>爷</v>
      </c>
      <c r="G194" s="14" t="str">
        <f ca="1">IF(OR(OR($A194="",$B194=""),AND($C194&lt;&gt;"",$D194&lt;&gt;"")),"",VLOOKUP(B194,IF({1,0},INDIRECT("达修波得!$"&amp;$E$1&amp;"$2:$"&amp;$E$1&amp;"$15"),达修波得!$A$2:$A$15),2,FALSE))</f>
        <v>宇</v>
      </c>
      <c r="H194" s="14" t="str">
        <f t="shared" ca="1" si="3"/>
        <v>爷宇</v>
      </c>
    </row>
    <row r="195" spans="1:8">
      <c r="A195" s="18" t="s">
        <v>62</v>
      </c>
      <c r="B195" s="18" t="s">
        <v>60</v>
      </c>
      <c r="F195" s="14" t="str">
        <f ca="1">IF(OR(OR($A195="",$B195=""),AND($C195&lt;&gt;"",$D195&lt;&gt;"")),"",VLOOKUP(A195,IF({1,0},INDIRECT("达修波得!$"&amp;$E$1&amp;"$2:$"&amp;$E$1&amp;"$15"),达修波得!$A$2:$A$15),2,FALSE))</f>
        <v>七</v>
      </c>
      <c r="G195" s="14" t="str">
        <f ca="1">IF(OR(OR($A195="",$B195=""),AND($C195&lt;&gt;"",$D195&lt;&gt;"")),"",VLOOKUP(B195,IF({1,0},INDIRECT("达修波得!$"&amp;$E$1&amp;"$2:$"&amp;$E$1&amp;"$15"),达修波得!$A$2:$A$15),2,FALSE))</f>
        <v>黑</v>
      </c>
      <c r="H195" s="14" t="str">
        <f t="shared" ca="1" si="3"/>
        <v>七黑</v>
      </c>
    </row>
    <row r="196" spans="1:8">
      <c r="A196" s="18" t="s">
        <v>57</v>
      </c>
      <c r="B196" s="18" t="s">
        <v>70</v>
      </c>
      <c r="F196" s="14" t="str">
        <f ca="1">IF(OR(OR($A196="",$B196=""),AND($C196&lt;&gt;"",$D196&lt;&gt;"")),"",VLOOKUP(A196,IF({1,0},INDIRECT("达修波得!$"&amp;$E$1&amp;"$2:$"&amp;$E$1&amp;"$15"),达修波得!$A$2:$A$15),2,FALSE))</f>
        <v>黑</v>
      </c>
      <c r="G196" s="14" t="str">
        <f ca="1">IF(OR(OR($A196="",$B196=""),AND($C196&lt;&gt;"",$D196&lt;&gt;"")),"",VLOOKUP(B196,IF({1,0},INDIRECT("达修波得!$"&amp;$E$1&amp;"$2:$"&amp;$E$1&amp;"$15"),达修波得!$A$2:$A$15),2,FALSE))</f>
        <v>宇</v>
      </c>
      <c r="H196" s="14" t="str">
        <f t="shared" ca="1" si="3"/>
        <v>黑宇</v>
      </c>
    </row>
    <row r="197" spans="1:8">
      <c r="A197" s="18" t="s">
        <v>58</v>
      </c>
      <c r="B197" s="18" t="s">
        <v>65</v>
      </c>
      <c r="F197" s="14" t="str">
        <f ca="1">IF(OR(OR($A197="",$B197=""),AND($C197&lt;&gt;"",$D197&lt;&gt;"")),"",VLOOKUP(A197,IF({1,0},INDIRECT("达修波得!$"&amp;$E$1&amp;"$2:$"&amp;$E$1&amp;"$15"),达修波得!$A$2:$A$15),2,FALSE))</f>
        <v>爷</v>
      </c>
      <c r="G197" s="14" t="str">
        <f ca="1">IF(OR(OR($A197="",$B197=""),AND($C197&lt;&gt;"",$D197&lt;&gt;"")),"",VLOOKUP(B197,IF({1,0},INDIRECT("达修波得!$"&amp;$E$1&amp;"$2:$"&amp;$E$1&amp;"$15"),达修波得!$A$2:$A$15),2,FALSE))</f>
        <v>磊</v>
      </c>
      <c r="H197" s="14" t="str">
        <f t="shared" ca="1" si="3"/>
        <v>爷磊</v>
      </c>
    </row>
    <row r="198" spans="1:8">
      <c r="A198" s="18" t="s">
        <v>66</v>
      </c>
      <c r="B198" s="18" t="s">
        <v>59</v>
      </c>
      <c r="F198" s="14" t="str">
        <f ca="1">IF(OR(OR($A198="",$B198=""),AND($C198&lt;&gt;"",$D198&lt;&gt;"")),"",VLOOKUP(A198,IF({1,0},INDIRECT("达修波得!$"&amp;$E$1&amp;"$2:$"&amp;$E$1&amp;"$15"),达修波得!$A$2:$A$15),2,FALSE))</f>
        <v>七</v>
      </c>
      <c r="G198" s="14" t="str">
        <f ca="1">IF(OR(OR($A198="",$B198=""),AND($C198&lt;&gt;"",$D198&lt;&gt;"")),"",VLOOKUP(B198,IF({1,0},INDIRECT("达修波得!$"&amp;$E$1&amp;"$2:$"&amp;$E$1&amp;"$15"),达修波得!$A$2:$A$15),2,FALSE))</f>
        <v>二</v>
      </c>
      <c r="H198" s="14" t="str">
        <f t="shared" ca="1" si="3"/>
        <v>七二</v>
      </c>
    </row>
    <row r="199" spans="1:8">
      <c r="A199" s="18" t="s">
        <v>68</v>
      </c>
      <c r="B199" s="18" t="s">
        <v>64</v>
      </c>
      <c r="F199" s="14" t="str">
        <f ca="1">IF(OR(OR($A199="",$B199=""),AND($C199&lt;&gt;"",$D199&lt;&gt;"")),"",VLOOKUP(A199,IF({1,0},INDIRECT("达修波得!$"&amp;$E$1&amp;"$2:$"&amp;$E$1&amp;"$15"),达修波得!$A$2:$A$15),2,FALSE))</f>
        <v>二</v>
      </c>
      <c r="G199" s="14" t="str">
        <f ca="1">IF(OR(OR($A199="",$B199=""),AND($C199&lt;&gt;"",$D199&lt;&gt;"")),"",VLOOKUP(B199,IF({1,0},INDIRECT("达修波得!$"&amp;$E$1&amp;"$2:$"&amp;$E$1&amp;"$15"),达修波得!$A$2:$A$15),2,FALSE))</f>
        <v>贝</v>
      </c>
      <c r="H199" s="14" t="str">
        <f t="shared" ca="1" si="3"/>
        <v>二贝</v>
      </c>
    </row>
    <row r="200" spans="1:8">
      <c r="A200" s="18" t="s">
        <v>67</v>
      </c>
      <c r="B200" s="18" t="s">
        <v>61</v>
      </c>
      <c r="F200" s="14" t="str">
        <f ca="1">IF(OR(OR($A200="",$B200=""),AND($C200&lt;&gt;"",$D200&lt;&gt;"")),"",VLOOKUP(A200,IF({1,0},INDIRECT("达修波得!$"&amp;$E$1&amp;"$2:$"&amp;$E$1&amp;"$15"),达修波得!$A$2:$A$15),2,FALSE))</f>
        <v>磊</v>
      </c>
      <c r="G200" s="14" t="str">
        <f ca="1">IF(OR(OR($A200="",$B200=""),AND($C200&lt;&gt;"",$D200&lt;&gt;"")),"",VLOOKUP(B200,IF({1,0},INDIRECT("达修波得!$"&amp;$E$1&amp;"$2:$"&amp;$E$1&amp;"$15"),达修波得!$A$2:$A$15),2,FALSE))</f>
        <v>贝</v>
      </c>
      <c r="H200" s="14" t="str">
        <f t="shared" ca="1" si="3"/>
        <v>磊贝</v>
      </c>
    </row>
    <row r="201" spans="1:8">
      <c r="A201" s="26" t="s">
        <v>55</v>
      </c>
      <c r="F201" s="14" t="str">
        <f ca="1">IF(OR(OR($A201="",$B201=""),AND($C201&lt;&gt;"",$D201&lt;&gt;"")),"",VLOOKUP(A201,IF({1,0},INDIRECT("达修波得!$"&amp;$E$1&amp;"$2:$"&amp;$E$1&amp;"$15"),达修波得!$A$2:$A$15),2,FALSE))</f>
        <v/>
      </c>
      <c r="G201" s="14" t="str">
        <f ca="1">IF(OR(OR($A201="",$B201=""),AND($C201&lt;&gt;"",$D201&lt;&gt;"")),"",VLOOKUP(B201,IF({1,0},INDIRECT("达修波得!$"&amp;$E$1&amp;"$2:$"&amp;$E$1&amp;"$15"),达修波得!$A$2:$A$15),2,FALSE))</f>
        <v/>
      </c>
      <c r="H201" s="14" t="str">
        <f t="shared" ref="H201:H208" ca="1" si="4">F201&amp;G201</f>
        <v/>
      </c>
    </row>
    <row r="202" spans="1:8">
      <c r="A202" s="18" t="s">
        <v>62</v>
      </c>
      <c r="B202" s="18" t="s">
        <v>56</v>
      </c>
      <c r="F202" s="14" t="str">
        <f ca="1">IF(OR(OR($A202="",$B202=""),AND($C202&lt;&gt;"",$D202&lt;&gt;"")),"",VLOOKUP(A202,IF({1,0},INDIRECT("达修波得!$"&amp;$E$1&amp;"$2:$"&amp;$E$1&amp;"$15"),达修波得!$A$2:$A$15),2,FALSE))</f>
        <v>七</v>
      </c>
      <c r="G202" s="14" t="str">
        <f ca="1">IF(OR(OR($A202="",$B202=""),AND($C202&lt;&gt;"",$D202&lt;&gt;"")),"",VLOOKUP(B202,IF({1,0},INDIRECT("达修波得!$"&amp;$E$1&amp;"$2:$"&amp;$E$1&amp;"$15"),达修波得!$A$2:$A$15),2,FALSE))</f>
        <v>宇</v>
      </c>
      <c r="H202" s="14" t="str">
        <f t="shared" ca="1" si="4"/>
        <v>七宇</v>
      </c>
    </row>
    <row r="203" spans="1:8">
      <c r="A203" s="18" t="s">
        <v>57</v>
      </c>
      <c r="B203" s="18" t="s">
        <v>69</v>
      </c>
      <c r="F203" s="14" t="str">
        <f ca="1">IF(OR(OR($A203="",$B203=""),AND($C203&lt;&gt;"",$D203&lt;&gt;"")),"",VLOOKUP(A203,IF({1,0},INDIRECT("达修波得!$"&amp;$E$1&amp;"$2:$"&amp;$E$1&amp;"$15"),达修波得!$A$2:$A$15),2,FALSE))</f>
        <v>黑</v>
      </c>
      <c r="G203" s="14" t="str">
        <f ca="1">IF(OR(OR($A203="",$B203=""),AND($C203&lt;&gt;"",$D203&lt;&gt;"")),"",VLOOKUP(B203,IF({1,0},INDIRECT("达修波得!$"&amp;$E$1&amp;"$2:$"&amp;$E$1&amp;"$15"),达修波得!$A$2:$A$15),2,FALSE))</f>
        <v>爷</v>
      </c>
      <c r="H203" s="14" t="str">
        <f t="shared" ca="1" si="4"/>
        <v>黑爷</v>
      </c>
    </row>
    <row r="204" spans="1:8">
      <c r="A204" s="18" t="s">
        <v>58</v>
      </c>
      <c r="B204" s="18" t="s">
        <v>60</v>
      </c>
      <c r="F204" s="14" t="str">
        <f ca="1">IF(OR(OR($A204="",$B204=""),AND($C204&lt;&gt;"",$D204&lt;&gt;"")),"",VLOOKUP(A204,IF({1,0},INDIRECT("达修波得!$"&amp;$E$1&amp;"$2:$"&amp;$E$1&amp;"$15"),达修波得!$A$2:$A$15),2,FALSE))</f>
        <v>爷</v>
      </c>
      <c r="G204" s="14" t="str">
        <f ca="1">IF(OR(OR($A204="",$B204=""),AND($C204&lt;&gt;"",$D204&lt;&gt;"")),"",VLOOKUP(B204,IF({1,0},INDIRECT("达修波得!$"&amp;$E$1&amp;"$2:$"&amp;$E$1&amp;"$15"),达修波得!$A$2:$A$15),2,FALSE))</f>
        <v>黑</v>
      </c>
      <c r="H204" s="14" t="str">
        <f t="shared" ca="1" si="4"/>
        <v>爷黑</v>
      </c>
    </row>
    <row r="205" spans="1:8">
      <c r="A205" s="18" t="s">
        <v>66</v>
      </c>
      <c r="B205" s="18" t="s">
        <v>70</v>
      </c>
      <c r="F205" s="14" t="str">
        <f ca="1">IF(OR(OR($A205="",$B205=""),AND($C205&lt;&gt;"",$D205&lt;&gt;"")),"",VLOOKUP(A205,IF({1,0},INDIRECT("达修波得!$"&amp;$E$1&amp;"$2:$"&amp;$E$1&amp;"$15"),达修波得!$A$2:$A$15),2,FALSE))</f>
        <v>七</v>
      </c>
      <c r="G205" s="14" t="str">
        <f ca="1">IF(OR(OR($A205="",$B205=""),AND($C205&lt;&gt;"",$D205&lt;&gt;"")),"",VLOOKUP(B205,IF({1,0},INDIRECT("达修波得!$"&amp;$E$1&amp;"$2:$"&amp;$E$1&amp;"$15"),达修波得!$A$2:$A$15),2,FALSE))</f>
        <v>宇</v>
      </c>
      <c r="H205" s="14" t="str">
        <f t="shared" ca="1" si="4"/>
        <v>七宇</v>
      </c>
    </row>
    <row r="206" spans="1:8">
      <c r="A206" s="18" t="s">
        <v>68</v>
      </c>
      <c r="B206" s="18" t="s">
        <v>65</v>
      </c>
      <c r="F206" s="14" t="str">
        <f ca="1">IF(OR(OR($A206="",$B206=""),AND($C206&lt;&gt;"",$D206&lt;&gt;"")),"",VLOOKUP(A206,IF({1,0},INDIRECT("达修波得!$"&amp;$E$1&amp;"$2:$"&amp;$E$1&amp;"$15"),达修波得!$A$2:$A$15),2,FALSE))</f>
        <v>二</v>
      </c>
      <c r="G206" s="14" t="str">
        <f ca="1">IF(OR(OR($A206="",$B206=""),AND($C206&lt;&gt;"",$D206&lt;&gt;"")),"",VLOOKUP(B206,IF({1,0},INDIRECT("达修波得!$"&amp;$E$1&amp;"$2:$"&amp;$E$1&amp;"$15"),达修波得!$A$2:$A$15),2,FALSE))</f>
        <v>磊</v>
      </c>
      <c r="H206" s="14" t="str">
        <f t="shared" ca="1" si="4"/>
        <v>二磊</v>
      </c>
    </row>
    <row r="207" spans="1:8">
      <c r="A207" s="18" t="s">
        <v>67</v>
      </c>
      <c r="B207" s="18" t="s">
        <v>59</v>
      </c>
      <c r="F207" s="14" t="str">
        <f ca="1">IF(OR(OR($A207="",$B207=""),AND($C207&lt;&gt;"",$D207&lt;&gt;"")),"",VLOOKUP(A207,IF({1,0},INDIRECT("达修波得!$"&amp;$E$1&amp;"$2:$"&amp;$E$1&amp;"$15"),达修波得!$A$2:$A$15),2,FALSE))</f>
        <v>磊</v>
      </c>
      <c r="G207" s="14" t="str">
        <f ca="1">IF(OR(OR($A207="",$B207=""),AND($C207&lt;&gt;"",$D207&lt;&gt;"")),"",VLOOKUP(B207,IF({1,0},INDIRECT("达修波得!$"&amp;$E$1&amp;"$2:$"&amp;$E$1&amp;"$15"),达修波得!$A$2:$A$15),2,FALSE))</f>
        <v>二</v>
      </c>
      <c r="H207" s="14" t="str">
        <f t="shared" ca="1" si="4"/>
        <v>磊二</v>
      </c>
    </row>
    <row r="208" spans="1:8">
      <c r="A208" s="18" t="s">
        <v>61</v>
      </c>
      <c r="B208" s="18" t="s">
        <v>64</v>
      </c>
      <c r="F208" s="14" t="str">
        <f ca="1">IF(OR(OR($A208="",$B208=""),AND($C208&lt;&gt;"",$D208&lt;&gt;"")),"",VLOOKUP(A208,IF({1,0},INDIRECT("达修波得!$"&amp;$E$1&amp;"$2:$"&amp;$E$1&amp;"$15"),达修波得!$A$2:$A$15),2,FALSE))</f>
        <v>贝</v>
      </c>
      <c r="G208" s="14" t="str">
        <f ca="1">IF(OR(OR($A208="",$B208=""),AND($C208&lt;&gt;"",$D208&lt;&gt;"")),"",VLOOKUP(B208,IF({1,0},INDIRECT("达修波得!$"&amp;$E$1&amp;"$2:$"&amp;$E$1&amp;"$15"),达修波得!$A$2:$A$15),2,FALSE))</f>
        <v>贝</v>
      </c>
      <c r="H208" s="14" t="str">
        <f t="shared" ca="1" si="4"/>
        <v>贝贝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达修波得</vt:lpstr>
      <vt:lpstr>国家杯積分榜</vt:lpstr>
      <vt:lpstr>国家杯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2018-07-06T03:30:51Z</dcterms:modified>
</cp:coreProperties>
</file>