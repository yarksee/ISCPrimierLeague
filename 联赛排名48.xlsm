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502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Stores/Desktop/"/>
    </mc:Choice>
  </mc:AlternateContent>
  <bookViews>
    <workbookView xWindow="-7200" yWindow="-21140" windowWidth="38400" windowHeight="21140" tabRatio="859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荷葡積分榜" sheetId="15" r:id="rId6"/>
    <sheet name="法甲積分榜" sheetId="16" r:id="rId7"/>
    <sheet name="英超積分榜" sheetId="17" r:id="rId8"/>
    <sheet name="欧冠積分榜" sheetId="9" r:id="rId9"/>
    <sheet name="西甲" sheetId="2" r:id="rId10"/>
    <sheet name="欧联" sheetId="3" r:id="rId11"/>
    <sheet name="意甲" sheetId="4" r:id="rId12"/>
    <sheet name="德甲" sheetId="11" r:id="rId13"/>
    <sheet name="荷葡" sheetId="12" r:id="rId14"/>
    <sheet name="法甲" sheetId="13" r:id="rId15"/>
    <sheet name="英超" sheetId="14" r:id="rId16"/>
    <sheet name="欧冠" sheetId="8" r:id="rId17"/>
  </sheets>
  <definedNames>
    <definedName name="_xlnm._FilterDatabase" localSheetId="12" hidden="1">德甲!$A$1:$E$40</definedName>
    <definedName name="_xlnm._FilterDatabase" localSheetId="14" hidden="1">法甲!$A$1:$E$40</definedName>
    <definedName name="_xlnm._FilterDatabase" localSheetId="13" hidden="1">荷葡!$A$1:$E$40</definedName>
    <definedName name="_xlnm._FilterDatabase" localSheetId="16" hidden="1">欧冠!$A$1:$E$70</definedName>
    <definedName name="_xlnm._FilterDatabase" localSheetId="11" hidden="1">意甲!$A$1:$E$70</definedName>
    <definedName name="_xlnm._FilterDatabase" localSheetId="15" hidden="1">英超!$A$1:$E$40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8" l="1"/>
  <c r="G1" i="8"/>
  <c r="H1" i="8"/>
  <c r="F2" i="8"/>
  <c r="G2" i="8"/>
  <c r="H2" i="8"/>
  <c r="F3" i="8"/>
  <c r="G3" i="8"/>
  <c r="H3" i="8"/>
  <c r="F4" i="8"/>
  <c r="G4" i="8"/>
  <c r="H4" i="8"/>
  <c r="F5" i="8"/>
  <c r="G5" i="8"/>
  <c r="H5" i="8"/>
  <c r="F6" i="8"/>
  <c r="G6" i="8"/>
  <c r="H6" i="8"/>
  <c r="F7" i="8"/>
  <c r="G7" i="8"/>
  <c r="H7" i="8"/>
  <c r="F8" i="8"/>
  <c r="G8" i="8"/>
  <c r="H8" i="8"/>
  <c r="F9" i="8"/>
  <c r="G9" i="8"/>
  <c r="H9" i="8"/>
  <c r="F10" i="8"/>
  <c r="G10" i="8"/>
  <c r="H10" i="8"/>
  <c r="F11" i="8"/>
  <c r="G11" i="8"/>
  <c r="H11" i="8"/>
  <c r="F12" i="8"/>
  <c r="G12" i="8"/>
  <c r="H12" i="8"/>
  <c r="F13" i="8"/>
  <c r="G13" i="8"/>
  <c r="H13" i="8"/>
  <c r="F14" i="8"/>
  <c r="G14" i="8"/>
  <c r="H14" i="8"/>
  <c r="F15" i="8"/>
  <c r="G15" i="8"/>
  <c r="H15" i="8"/>
  <c r="F16" i="8"/>
  <c r="G16" i="8"/>
  <c r="H16" i="8"/>
  <c r="F17" i="8"/>
  <c r="G17" i="8"/>
  <c r="H17" i="8"/>
  <c r="F18" i="8"/>
  <c r="G18" i="8"/>
  <c r="H18" i="8"/>
  <c r="F19" i="8"/>
  <c r="G19" i="8"/>
  <c r="H19" i="8"/>
  <c r="F20" i="8"/>
  <c r="G20" i="8"/>
  <c r="H20" i="8"/>
  <c r="F21" i="8"/>
  <c r="G21" i="8"/>
  <c r="H21" i="8"/>
  <c r="F22" i="8"/>
  <c r="G22" i="8"/>
  <c r="H22" i="8"/>
  <c r="F23" i="8"/>
  <c r="G23" i="8"/>
  <c r="H23" i="8"/>
  <c r="F24" i="8"/>
  <c r="G24" i="8"/>
  <c r="H24" i="8"/>
  <c r="F25" i="8"/>
  <c r="G25" i="8"/>
  <c r="H25" i="8"/>
  <c r="F26" i="8"/>
  <c r="G26" i="8"/>
  <c r="H26" i="8"/>
  <c r="F27" i="8"/>
  <c r="G27" i="8"/>
  <c r="H27" i="8"/>
  <c r="F28" i="8"/>
  <c r="G28" i="8"/>
  <c r="H28" i="8"/>
  <c r="F29" i="8"/>
  <c r="G29" i="8"/>
  <c r="H29" i="8"/>
  <c r="F30" i="8"/>
  <c r="G30" i="8"/>
  <c r="H30" i="8"/>
  <c r="F31" i="8"/>
  <c r="G31" i="8"/>
  <c r="H31" i="8"/>
  <c r="F32" i="8"/>
  <c r="G32" i="8"/>
  <c r="H32" i="8"/>
  <c r="F33" i="8"/>
  <c r="G33" i="8"/>
  <c r="H33" i="8"/>
  <c r="F34" i="8"/>
  <c r="G34" i="8"/>
  <c r="H34" i="8"/>
  <c r="F35" i="8"/>
  <c r="G35" i="8"/>
  <c r="H35" i="8"/>
  <c r="F36" i="8"/>
  <c r="G36" i="8"/>
  <c r="H36" i="8"/>
  <c r="F37" i="8"/>
  <c r="G37" i="8"/>
  <c r="H37" i="8"/>
  <c r="F38" i="8"/>
  <c r="G38" i="8"/>
  <c r="H38" i="8"/>
  <c r="F39" i="8"/>
  <c r="G39" i="8"/>
  <c r="H39" i="8"/>
  <c r="F40" i="8"/>
  <c r="G40" i="8"/>
  <c r="H40" i="8"/>
  <c r="F41" i="8"/>
  <c r="G41" i="8"/>
  <c r="H41" i="8"/>
  <c r="F42" i="8"/>
  <c r="G42" i="8"/>
  <c r="H42" i="8"/>
  <c r="F43" i="8"/>
  <c r="G43" i="8"/>
  <c r="H43" i="8"/>
  <c r="F44" i="8"/>
  <c r="G44" i="8"/>
  <c r="H44" i="8"/>
  <c r="F45" i="8"/>
  <c r="G45" i="8"/>
  <c r="H45" i="8"/>
  <c r="F46" i="8"/>
  <c r="G46" i="8"/>
  <c r="H46" i="8"/>
  <c r="F47" i="8"/>
  <c r="G47" i="8"/>
  <c r="H47" i="8"/>
  <c r="F48" i="8"/>
  <c r="G48" i="8"/>
  <c r="H48" i="8"/>
  <c r="F49" i="8"/>
  <c r="G49" i="8"/>
  <c r="H49" i="8"/>
  <c r="F50" i="8"/>
  <c r="G50" i="8"/>
  <c r="H50" i="8"/>
  <c r="F51" i="8"/>
  <c r="G51" i="8"/>
  <c r="H51" i="8"/>
  <c r="F52" i="8"/>
  <c r="G52" i="8"/>
  <c r="H52" i="8"/>
  <c r="F53" i="8"/>
  <c r="G53" i="8"/>
  <c r="H53" i="8"/>
  <c r="F54" i="8"/>
  <c r="G54" i="8"/>
  <c r="H54" i="8"/>
  <c r="F55" i="8"/>
  <c r="G55" i="8"/>
  <c r="H55" i="8"/>
  <c r="F56" i="8"/>
  <c r="G56" i="8"/>
  <c r="H56" i="8"/>
  <c r="F57" i="8"/>
  <c r="G57" i="8"/>
  <c r="H57" i="8"/>
  <c r="F58" i="8"/>
  <c r="G58" i="8"/>
  <c r="H58" i="8"/>
  <c r="F59" i="8"/>
  <c r="G59" i="8"/>
  <c r="H59" i="8"/>
  <c r="F60" i="8"/>
  <c r="G60" i="8"/>
  <c r="H60" i="8"/>
  <c r="F61" i="8"/>
  <c r="G61" i="8"/>
  <c r="H61" i="8"/>
  <c r="F62" i="8"/>
  <c r="G62" i="8"/>
  <c r="H62" i="8"/>
  <c r="F63" i="8"/>
  <c r="G63" i="8"/>
  <c r="H63" i="8"/>
  <c r="F64" i="8"/>
  <c r="G64" i="8"/>
  <c r="H64" i="8"/>
  <c r="F65" i="8"/>
  <c r="G65" i="8"/>
  <c r="H65" i="8"/>
  <c r="F66" i="8"/>
  <c r="G66" i="8"/>
  <c r="H66" i="8"/>
  <c r="F67" i="8"/>
  <c r="G67" i="8"/>
  <c r="H67" i="8"/>
  <c r="F68" i="8"/>
  <c r="G68" i="8"/>
  <c r="H68" i="8"/>
  <c r="F69" i="8"/>
  <c r="G69" i="8"/>
  <c r="H69" i="8"/>
  <c r="F70" i="8"/>
  <c r="G70" i="8"/>
  <c r="H70" i="8"/>
  <c r="F71" i="8"/>
  <c r="G71" i="8"/>
  <c r="H71" i="8"/>
  <c r="F72" i="8"/>
  <c r="G72" i="8"/>
  <c r="H72" i="8"/>
  <c r="F73" i="8"/>
  <c r="G73" i="8"/>
  <c r="H73" i="8"/>
  <c r="F74" i="8"/>
  <c r="G74" i="8"/>
  <c r="H74" i="8"/>
  <c r="F75" i="8"/>
  <c r="G75" i="8"/>
  <c r="H75" i="8"/>
  <c r="F76" i="8"/>
  <c r="G76" i="8"/>
  <c r="H76" i="8"/>
  <c r="F77" i="8"/>
  <c r="G77" i="8"/>
  <c r="H77" i="8"/>
  <c r="F78" i="8"/>
  <c r="G78" i="8"/>
  <c r="H78" i="8"/>
  <c r="F79" i="8"/>
  <c r="G79" i="8"/>
  <c r="H79" i="8"/>
  <c r="F80" i="8"/>
  <c r="G80" i="8"/>
  <c r="H80" i="8"/>
  <c r="F81" i="8"/>
  <c r="G81" i="8"/>
  <c r="H81" i="8"/>
  <c r="F82" i="8"/>
  <c r="G82" i="8"/>
  <c r="H82" i="8"/>
  <c r="F83" i="8"/>
  <c r="G83" i="8"/>
  <c r="H83" i="8"/>
  <c r="F84" i="8"/>
  <c r="G84" i="8"/>
  <c r="H84" i="8"/>
  <c r="F85" i="8"/>
  <c r="G85" i="8"/>
  <c r="H85" i="8"/>
  <c r="F86" i="8"/>
  <c r="G86" i="8"/>
  <c r="H86" i="8"/>
  <c r="F87" i="8"/>
  <c r="G87" i="8"/>
  <c r="H87" i="8"/>
  <c r="F88" i="8"/>
  <c r="G88" i="8"/>
  <c r="H88" i="8"/>
  <c r="F89" i="8"/>
  <c r="G89" i="8"/>
  <c r="H89" i="8"/>
  <c r="F90" i="8"/>
  <c r="G90" i="8"/>
  <c r="H90" i="8"/>
  <c r="F91" i="8"/>
  <c r="G91" i="8"/>
  <c r="H91" i="8"/>
  <c r="F92" i="8"/>
  <c r="G92" i="8"/>
  <c r="H92" i="8"/>
  <c r="F93" i="8"/>
  <c r="G93" i="8"/>
  <c r="H93" i="8"/>
  <c r="F94" i="8"/>
  <c r="G94" i="8"/>
  <c r="H94" i="8"/>
  <c r="F95" i="8"/>
  <c r="G95" i="8"/>
  <c r="H95" i="8"/>
  <c r="F96" i="8"/>
  <c r="G96" i="8"/>
  <c r="H96" i="8"/>
  <c r="F97" i="8"/>
  <c r="G97" i="8"/>
  <c r="H97" i="8"/>
  <c r="F98" i="8"/>
  <c r="G98" i="8"/>
  <c r="H98" i="8"/>
  <c r="F99" i="8"/>
  <c r="G99" i="8"/>
  <c r="H99" i="8"/>
  <c r="F100" i="8"/>
  <c r="G100" i="8"/>
  <c r="H100" i="8"/>
  <c r="F101" i="8"/>
  <c r="G101" i="8"/>
  <c r="H101" i="8"/>
  <c r="F102" i="8"/>
  <c r="G102" i="8"/>
  <c r="H102" i="8"/>
  <c r="F103" i="8"/>
  <c r="G103" i="8"/>
  <c r="H103" i="8"/>
  <c r="F104" i="8"/>
  <c r="G104" i="8"/>
  <c r="H104" i="8"/>
  <c r="F105" i="8"/>
  <c r="G105" i="8"/>
  <c r="H105" i="8"/>
  <c r="F106" i="8"/>
  <c r="G106" i="8"/>
  <c r="H106" i="8"/>
  <c r="F107" i="8"/>
  <c r="G107" i="8"/>
  <c r="H107" i="8"/>
  <c r="F108" i="8"/>
  <c r="G108" i="8"/>
  <c r="H108" i="8"/>
  <c r="K92" i="7"/>
  <c r="B92" i="7"/>
  <c r="C91" i="7"/>
  <c r="F1" i="2"/>
  <c r="G1" i="2"/>
  <c r="F5" i="2"/>
  <c r="G5" i="2"/>
  <c r="F8" i="2"/>
  <c r="G8" i="2"/>
  <c r="F9" i="2"/>
  <c r="G9" i="2"/>
  <c r="F12" i="2"/>
  <c r="G12" i="2"/>
  <c r="F13" i="2"/>
  <c r="G13" i="2"/>
  <c r="F17" i="2"/>
  <c r="G17" i="2"/>
  <c r="F21" i="2"/>
  <c r="G21" i="2"/>
  <c r="F25" i="2"/>
  <c r="G25" i="2"/>
  <c r="F28" i="2"/>
  <c r="G28" i="2"/>
  <c r="F29" i="2"/>
  <c r="G29" i="2"/>
  <c r="F33" i="2"/>
  <c r="G33" i="2"/>
  <c r="F37" i="2"/>
  <c r="G37" i="2"/>
  <c r="F1" i="3"/>
  <c r="G1" i="3"/>
  <c r="F5" i="3"/>
  <c r="G5" i="3"/>
  <c r="F6" i="3"/>
  <c r="G6" i="3"/>
  <c r="F7" i="3"/>
  <c r="G7" i="3"/>
  <c r="F9" i="3"/>
  <c r="G9" i="3"/>
  <c r="F13" i="3"/>
  <c r="G13" i="3"/>
  <c r="F17" i="3"/>
  <c r="G17" i="3"/>
  <c r="F21" i="3"/>
  <c r="G21" i="3"/>
  <c r="F25" i="3"/>
  <c r="G25" i="3"/>
  <c r="F29" i="3"/>
  <c r="G29" i="3"/>
  <c r="F33" i="3"/>
  <c r="G33" i="3"/>
  <c r="F37" i="3"/>
  <c r="G37" i="3"/>
  <c r="F1" i="4"/>
  <c r="G1" i="4"/>
  <c r="F5" i="4"/>
  <c r="G5" i="4"/>
  <c r="F7" i="4"/>
  <c r="G7" i="4"/>
  <c r="F9" i="4"/>
  <c r="G9" i="4"/>
  <c r="F13" i="4"/>
  <c r="G13" i="4"/>
  <c r="F15" i="4"/>
  <c r="G15" i="4"/>
  <c r="F17" i="4"/>
  <c r="G17" i="4"/>
  <c r="F21" i="4"/>
  <c r="G21" i="4"/>
  <c r="F25" i="4"/>
  <c r="G25" i="4"/>
  <c r="F27" i="4"/>
  <c r="G27" i="4"/>
  <c r="F29" i="4"/>
  <c r="G29" i="4"/>
  <c r="F33" i="4"/>
  <c r="G33" i="4"/>
  <c r="F35" i="4"/>
  <c r="G35" i="4"/>
  <c r="F37" i="4"/>
  <c r="G37" i="4"/>
  <c r="F1" i="11"/>
  <c r="G1" i="11"/>
  <c r="F5" i="11"/>
  <c r="G5" i="11"/>
  <c r="F9" i="11"/>
  <c r="G9" i="11"/>
  <c r="F12" i="11"/>
  <c r="G12" i="11"/>
  <c r="F13" i="11"/>
  <c r="G13" i="11"/>
  <c r="F17" i="11"/>
  <c r="G17" i="11"/>
  <c r="F19" i="11"/>
  <c r="G19" i="11"/>
  <c r="F21" i="11"/>
  <c r="G21" i="11"/>
  <c r="F25" i="11"/>
  <c r="G25" i="11"/>
  <c r="F29" i="11"/>
  <c r="G29" i="11"/>
  <c r="F32" i="11"/>
  <c r="G32" i="11"/>
  <c r="F33" i="11"/>
  <c r="G33" i="11"/>
  <c r="F37" i="11"/>
  <c r="G37" i="11"/>
  <c r="F39" i="11"/>
  <c r="G39" i="11"/>
  <c r="F1" i="12"/>
  <c r="G1" i="12"/>
  <c r="F5" i="12"/>
  <c r="G5" i="12"/>
  <c r="F9" i="12"/>
  <c r="G9" i="12"/>
  <c r="F13" i="12"/>
  <c r="G13" i="12"/>
  <c r="F17" i="12"/>
  <c r="G17" i="12"/>
  <c r="F19" i="12"/>
  <c r="G19" i="12"/>
  <c r="F21" i="12"/>
  <c r="G21" i="12"/>
  <c r="F25" i="12"/>
  <c r="G25" i="12"/>
  <c r="F29" i="12"/>
  <c r="G29" i="12"/>
  <c r="F33" i="12"/>
  <c r="G33" i="12"/>
  <c r="F37" i="12"/>
  <c r="G37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F1" i="13"/>
  <c r="G1" i="13"/>
  <c r="F5" i="13"/>
  <c r="G5" i="13"/>
  <c r="F9" i="13"/>
  <c r="G9" i="13"/>
  <c r="F11" i="13"/>
  <c r="G11" i="13"/>
  <c r="F13" i="13"/>
  <c r="G13" i="13"/>
  <c r="F17" i="13"/>
  <c r="G17" i="13"/>
  <c r="F19" i="13"/>
  <c r="G19" i="13"/>
  <c r="F21" i="13"/>
  <c r="G21" i="13"/>
  <c r="F25" i="13"/>
  <c r="G25" i="13"/>
  <c r="F29" i="13"/>
  <c r="G29" i="13"/>
  <c r="F31" i="13"/>
  <c r="G31" i="13"/>
  <c r="F33" i="13"/>
  <c r="G33" i="13"/>
  <c r="F37" i="13"/>
  <c r="G37" i="13"/>
  <c r="F39" i="13"/>
  <c r="G39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F1" i="14"/>
  <c r="G1" i="14"/>
  <c r="F5" i="14"/>
  <c r="G5" i="14"/>
  <c r="F7" i="14"/>
  <c r="G7" i="14"/>
  <c r="F8" i="14"/>
  <c r="G8" i="14"/>
  <c r="F9" i="14"/>
  <c r="G9" i="14"/>
  <c r="F10" i="14"/>
  <c r="G10" i="14"/>
  <c r="F13" i="14"/>
  <c r="G13" i="14"/>
  <c r="F16" i="14"/>
  <c r="G16" i="14"/>
  <c r="F17" i="14"/>
  <c r="G17" i="14"/>
  <c r="F18" i="14"/>
  <c r="G18" i="14"/>
  <c r="F19" i="14"/>
  <c r="G19" i="14"/>
  <c r="F21" i="14"/>
  <c r="G21" i="14"/>
  <c r="F25" i="14"/>
  <c r="G25" i="14"/>
  <c r="F29" i="14"/>
  <c r="G29" i="14"/>
  <c r="F33" i="14"/>
  <c r="G33" i="14"/>
  <c r="F37" i="14"/>
  <c r="G37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G4" i="13"/>
  <c r="F7" i="13"/>
  <c r="F15" i="14"/>
  <c r="F4" i="13"/>
  <c r="G20" i="4"/>
  <c r="G30" i="14"/>
  <c r="F20" i="4"/>
  <c r="G7" i="13"/>
  <c r="G15" i="14"/>
  <c r="F30" i="14"/>
  <c r="F7" i="2"/>
  <c r="F32" i="2"/>
  <c r="G31" i="2"/>
  <c r="F6" i="13"/>
  <c r="G10" i="4"/>
  <c r="F10" i="4"/>
  <c r="G27" i="3"/>
  <c r="F26" i="13"/>
  <c r="F2" i="14"/>
  <c r="G7" i="2"/>
  <c r="F27" i="3"/>
  <c r="G32" i="2"/>
  <c r="G6" i="4"/>
  <c r="G7" i="11"/>
  <c r="F6" i="4"/>
  <c r="F7" i="11"/>
  <c r="G26" i="13"/>
  <c r="G2" i="14"/>
  <c r="F31" i="2"/>
  <c r="G6" i="13"/>
  <c r="G30" i="4"/>
  <c r="F35" i="14"/>
  <c r="G2" i="11"/>
  <c r="G35" i="14"/>
  <c r="F2" i="11"/>
  <c r="F30" i="4"/>
  <c r="G20" i="3"/>
  <c r="F11" i="2"/>
  <c r="F2" i="4"/>
  <c r="F22" i="14"/>
  <c r="G22" i="14"/>
  <c r="G8" i="11"/>
  <c r="G2" i="4"/>
  <c r="F20" i="3"/>
  <c r="G11" i="2"/>
  <c r="F28" i="14"/>
  <c r="F39" i="14"/>
  <c r="G28" i="14"/>
  <c r="G16" i="2"/>
  <c r="G39" i="14"/>
  <c r="F16" i="2"/>
  <c r="F8" i="11"/>
  <c r="G14" i="3"/>
  <c r="F15" i="13"/>
  <c r="G2" i="12"/>
  <c r="F16" i="11"/>
  <c r="F4" i="4"/>
  <c r="G4" i="4"/>
  <c r="F14" i="3"/>
  <c r="F2" i="12"/>
  <c r="G22" i="12"/>
  <c r="G16" i="11"/>
  <c r="F22" i="12"/>
  <c r="G15" i="13"/>
  <c r="G15" i="2"/>
  <c r="F15" i="2"/>
  <c r="F8" i="13"/>
  <c r="F4" i="3"/>
  <c r="G4" i="3"/>
  <c r="G8" i="13"/>
  <c r="G34" i="14"/>
  <c r="G12" i="12"/>
  <c r="F32" i="12"/>
  <c r="G32" i="12"/>
  <c r="F14" i="14"/>
  <c r="F34" i="14"/>
  <c r="F12" i="12"/>
  <c r="G14" i="14"/>
  <c r="F16" i="4"/>
  <c r="G23" i="2"/>
  <c r="G16" i="4"/>
  <c r="G16" i="3"/>
  <c r="F16" i="3"/>
  <c r="F23" i="2"/>
  <c r="G3" i="11"/>
  <c r="G19" i="4"/>
  <c r="G39" i="4"/>
  <c r="F3" i="13"/>
  <c r="F3" i="2"/>
  <c r="F23" i="13"/>
  <c r="G3" i="13"/>
  <c r="F3" i="11"/>
  <c r="G23" i="13"/>
  <c r="F19" i="4"/>
  <c r="G3" i="2"/>
  <c r="F39" i="4"/>
  <c r="F19" i="3"/>
  <c r="G39" i="3"/>
  <c r="G19" i="3"/>
  <c r="G3" i="12"/>
  <c r="F3" i="12"/>
  <c r="F39" i="3"/>
  <c r="G23" i="11"/>
  <c r="F23" i="11"/>
  <c r="G40" i="3"/>
  <c r="F24" i="4"/>
  <c r="G24" i="4"/>
  <c r="G18" i="11"/>
  <c r="F40" i="3"/>
  <c r="F18" i="11"/>
  <c r="G12" i="14"/>
  <c r="F24" i="3"/>
  <c r="F12" i="14"/>
  <c r="G24" i="3"/>
  <c r="F40" i="4"/>
  <c r="G40" i="4"/>
  <c r="F19" i="2"/>
  <c r="G11" i="14"/>
  <c r="F3" i="14"/>
  <c r="G4" i="11"/>
  <c r="G19" i="2"/>
  <c r="G36" i="11"/>
  <c r="G4" i="14"/>
  <c r="F10" i="2"/>
  <c r="F4" i="14"/>
  <c r="F4" i="11"/>
  <c r="G10" i="2"/>
  <c r="F36" i="11"/>
  <c r="G27" i="14"/>
  <c r="G12" i="4"/>
  <c r="F11" i="14"/>
  <c r="F27" i="14"/>
  <c r="G3" i="14"/>
  <c r="G15" i="11"/>
  <c r="F15" i="11"/>
  <c r="F12" i="4"/>
  <c r="G32" i="14"/>
  <c r="G28" i="13"/>
  <c r="G16" i="12"/>
  <c r="F35" i="2"/>
  <c r="F16" i="12"/>
  <c r="G11" i="4"/>
  <c r="F28" i="13"/>
  <c r="G35" i="2"/>
  <c r="F11" i="4"/>
  <c r="F32" i="14"/>
  <c r="G36" i="12"/>
  <c r="F23" i="12"/>
  <c r="G4" i="2"/>
  <c r="G27" i="2"/>
  <c r="G10" i="3"/>
  <c r="G11" i="11"/>
  <c r="F27" i="2"/>
  <c r="F11" i="11"/>
  <c r="G23" i="12"/>
  <c r="F4" i="2"/>
  <c r="F10" i="3"/>
  <c r="F36" i="12"/>
  <c r="F6" i="14"/>
  <c r="G30" i="3"/>
  <c r="F16" i="13"/>
  <c r="F30" i="3"/>
  <c r="F14" i="2"/>
  <c r="F7" i="12"/>
  <c r="F6" i="11"/>
  <c r="F14" i="4"/>
  <c r="G7" i="12"/>
  <c r="G16" i="13"/>
  <c r="F39" i="12"/>
  <c r="F34" i="4"/>
  <c r="G34" i="4"/>
  <c r="G39" i="12"/>
  <c r="G14" i="4"/>
  <c r="G6" i="11"/>
  <c r="G14" i="2"/>
  <c r="G6" i="14"/>
  <c r="F15" i="12"/>
  <c r="G14" i="11"/>
  <c r="F6" i="2"/>
  <c r="F24" i="11"/>
  <c r="F28" i="11"/>
  <c r="G6" i="2"/>
  <c r="F27" i="11"/>
  <c r="F26" i="14"/>
  <c r="G38" i="14"/>
  <c r="G26" i="14"/>
  <c r="F39" i="2"/>
  <c r="F38" i="14"/>
  <c r="G11" i="3"/>
  <c r="F32" i="4"/>
  <c r="G15" i="12"/>
  <c r="F11" i="3"/>
  <c r="G32" i="4"/>
  <c r="G27" i="11"/>
  <c r="G28" i="11"/>
  <c r="G24" i="11"/>
  <c r="F14" i="11"/>
  <c r="G24" i="14"/>
  <c r="G39" i="2"/>
  <c r="F24" i="14"/>
  <c r="G22" i="11"/>
  <c r="G24" i="2"/>
  <c r="G12" i="13"/>
  <c r="F24" i="2"/>
  <c r="F12" i="13"/>
  <c r="F22" i="11"/>
  <c r="F32" i="13"/>
  <c r="F22" i="3"/>
  <c r="G32" i="13"/>
  <c r="F22" i="4"/>
  <c r="G31" i="4"/>
  <c r="F2" i="3"/>
  <c r="G22" i="4"/>
  <c r="G31" i="3"/>
  <c r="F36" i="2"/>
  <c r="F31" i="3"/>
  <c r="G2" i="3"/>
  <c r="F31" i="4"/>
  <c r="G22" i="3"/>
  <c r="G36" i="2"/>
  <c r="G35" i="13"/>
  <c r="F26" i="12"/>
  <c r="F24" i="13"/>
  <c r="G6" i="12"/>
  <c r="G24" i="13"/>
  <c r="F6" i="12"/>
  <c r="G26" i="12"/>
  <c r="F35" i="13"/>
  <c r="F26" i="2"/>
  <c r="F34" i="3"/>
  <c r="F12" i="3"/>
  <c r="G36" i="13"/>
  <c r="F35" i="11"/>
  <c r="G35" i="12"/>
  <c r="G23" i="14"/>
  <c r="F8" i="12"/>
  <c r="F28" i="12"/>
  <c r="G14" i="13"/>
  <c r="F36" i="13"/>
  <c r="G26" i="2"/>
  <c r="G35" i="11"/>
  <c r="G28" i="12"/>
  <c r="F14" i="13"/>
  <c r="F35" i="12"/>
  <c r="G12" i="3"/>
  <c r="G8" i="12"/>
  <c r="F23" i="14"/>
  <c r="G34" i="3"/>
  <c r="G26" i="11"/>
  <c r="F26" i="11"/>
  <c r="G2" i="2"/>
  <c r="G20" i="2"/>
  <c r="F20" i="2"/>
  <c r="F32" i="3"/>
  <c r="F3" i="3"/>
  <c r="F2" i="2"/>
  <c r="G3" i="3"/>
  <c r="G32" i="3"/>
  <c r="F27" i="13"/>
  <c r="G31" i="11"/>
  <c r="F26" i="3"/>
  <c r="F14" i="12"/>
  <c r="F31" i="11"/>
  <c r="G14" i="12"/>
  <c r="G27" i="13"/>
  <c r="G26" i="3"/>
  <c r="F31" i="14"/>
  <c r="G15" i="3"/>
  <c r="G31" i="14"/>
  <c r="F15" i="3"/>
  <c r="G35" i="3"/>
  <c r="F18" i="4"/>
  <c r="G34" i="13"/>
  <c r="G30" i="2"/>
  <c r="G34" i="2"/>
  <c r="G38" i="4"/>
  <c r="G22" i="2"/>
  <c r="F38" i="4"/>
  <c r="F35" i="3"/>
  <c r="F30" i="2"/>
  <c r="G18" i="4"/>
  <c r="F34" i="13"/>
  <c r="F22" i="2"/>
  <c r="F34" i="2"/>
  <c r="F27" i="12"/>
  <c r="G27" i="12"/>
  <c r="G20" i="13"/>
  <c r="G38" i="11"/>
  <c r="G40" i="13"/>
  <c r="G34" i="11"/>
  <c r="F38" i="11"/>
  <c r="F18" i="12"/>
  <c r="F20" i="13"/>
  <c r="G18" i="12"/>
  <c r="F40" i="13"/>
  <c r="F34" i="11"/>
  <c r="F30" i="13"/>
  <c r="G10" i="13"/>
  <c r="G10" i="12"/>
  <c r="F10" i="13"/>
  <c r="F10" i="12"/>
  <c r="G30" i="13"/>
  <c r="G10" i="11"/>
  <c r="G30" i="11"/>
  <c r="F10" i="11"/>
  <c r="F30" i="11"/>
  <c r="G8" i="4"/>
  <c r="F8" i="4"/>
  <c r="G11" i="12"/>
  <c r="F11" i="12"/>
  <c r="F34" i="12"/>
  <c r="G34" i="12"/>
  <c r="G2" i="13"/>
  <c r="F31" i="12"/>
  <c r="G18" i="13"/>
  <c r="G38" i="12"/>
  <c r="F36" i="14"/>
  <c r="F36" i="3"/>
  <c r="F28" i="4"/>
  <c r="G26" i="4"/>
  <c r="G38" i="3"/>
  <c r="G20" i="11"/>
  <c r="F20" i="11"/>
  <c r="G4" i="12"/>
  <c r="G38" i="2"/>
  <c r="F24" i="12"/>
  <c r="F26" i="4"/>
  <c r="G40" i="14"/>
  <c r="F4" i="12"/>
  <c r="F23" i="3"/>
  <c r="F38" i="3"/>
  <c r="F18" i="3"/>
  <c r="G8" i="3"/>
  <c r="G23" i="3"/>
  <c r="G30" i="12"/>
  <c r="G36" i="3"/>
  <c r="G40" i="11"/>
  <c r="F38" i="12"/>
  <c r="F8" i="3"/>
  <c r="G40" i="12"/>
  <c r="G28" i="3"/>
  <c r="F3" i="4"/>
  <c r="F40" i="11"/>
  <c r="G20" i="14"/>
  <c r="F28" i="3"/>
  <c r="F20" i="12"/>
  <c r="F38" i="13"/>
  <c r="G36" i="14"/>
  <c r="F22" i="13"/>
  <c r="G18" i="2"/>
  <c r="G24" i="12"/>
  <c r="G23" i="4"/>
  <c r="F30" i="12"/>
  <c r="F2" i="13"/>
  <c r="F18" i="13"/>
  <c r="F36" i="4"/>
  <c r="G31" i="12"/>
  <c r="F20" i="14"/>
  <c r="G18" i="3"/>
  <c r="F23" i="4"/>
  <c r="F40" i="12"/>
  <c r="G22" i="13"/>
  <c r="G3" i="4"/>
  <c r="F40" i="14"/>
  <c r="G40" i="2"/>
  <c r="G20" i="12"/>
  <c r="G38" i="13"/>
  <c r="F18" i="2"/>
  <c r="G36" i="4"/>
  <c r="F38" i="2"/>
  <c r="G28" i="4"/>
  <c r="F40" i="2"/>
  <c r="H33" i="13"/>
  <c r="H29" i="13"/>
  <c r="H21" i="13"/>
  <c r="H17" i="13"/>
  <c r="H37" i="14"/>
  <c r="H21" i="14"/>
  <c r="H18" i="14"/>
  <c r="H21" i="3"/>
  <c r="H37" i="2"/>
  <c r="H29" i="2"/>
  <c r="H25" i="2"/>
  <c r="H17" i="2"/>
  <c r="H12" i="2"/>
  <c r="H8" i="2"/>
  <c r="H33" i="14"/>
  <c r="H33" i="3"/>
  <c r="H21" i="2"/>
  <c r="H17" i="14"/>
  <c r="H13" i="14"/>
  <c r="H1" i="14"/>
  <c r="H5" i="13"/>
  <c r="H21" i="12"/>
  <c r="H9" i="12"/>
  <c r="H1" i="12"/>
  <c r="H32" i="11"/>
  <c r="H25" i="11"/>
  <c r="H19" i="11"/>
  <c r="H13" i="11"/>
  <c r="H5" i="12"/>
  <c r="H35" i="4"/>
  <c r="H19" i="13"/>
  <c r="H13" i="13"/>
  <c r="H9" i="13"/>
  <c r="H33" i="12"/>
  <c r="H25" i="12"/>
  <c r="H13" i="12"/>
  <c r="H12" i="11"/>
  <c r="H37" i="4"/>
  <c r="H33" i="4"/>
  <c r="H27" i="4"/>
  <c r="H21" i="4"/>
  <c r="H5" i="4"/>
  <c r="H37" i="3"/>
  <c r="H13" i="3"/>
  <c r="H28" i="2"/>
  <c r="H5" i="2"/>
  <c r="H8" i="14"/>
  <c r="H25" i="3"/>
  <c r="H17" i="3"/>
  <c r="H9" i="3"/>
  <c r="H1" i="3"/>
  <c r="H16" i="14"/>
  <c r="H29" i="14"/>
  <c r="H17" i="12"/>
  <c r="H29" i="11"/>
  <c r="H21" i="11"/>
  <c r="H15" i="4"/>
  <c r="H6" i="3"/>
  <c r="H5" i="14"/>
  <c r="H1" i="13"/>
  <c r="H29" i="3"/>
  <c r="H33" i="2"/>
  <c r="H25" i="14"/>
  <c r="H9" i="14"/>
  <c r="H37" i="13"/>
  <c r="H25" i="13"/>
  <c r="H11" i="13"/>
  <c r="H37" i="12"/>
  <c r="H29" i="12"/>
  <c r="H39" i="11"/>
  <c r="H33" i="11"/>
  <c r="H9" i="11"/>
  <c r="H1" i="11"/>
  <c r="H25" i="4"/>
  <c r="H17" i="4"/>
  <c r="H13" i="4"/>
  <c r="H7" i="4"/>
  <c r="H1" i="4"/>
  <c r="H5" i="3"/>
  <c r="H13" i="2"/>
  <c r="H9" i="2"/>
  <c r="H19" i="14"/>
  <c r="H39" i="13"/>
  <c r="H31" i="13"/>
  <c r="H19" i="12"/>
  <c r="H37" i="11"/>
  <c r="H17" i="11"/>
  <c r="H29" i="4"/>
  <c r="H9" i="4"/>
  <c r="H1" i="2"/>
  <c r="H10" i="14"/>
  <c r="H7" i="14"/>
  <c r="H5" i="11"/>
  <c r="H7" i="3"/>
  <c r="H38" i="14"/>
  <c r="H34" i="14"/>
  <c r="H30" i="14"/>
  <c r="H26" i="14"/>
  <c r="H22" i="14"/>
  <c r="H14" i="14"/>
  <c r="H6" i="14"/>
  <c r="H2" i="14"/>
  <c r="H38" i="13"/>
  <c r="H34" i="13"/>
  <c r="H26" i="13"/>
  <c r="H22" i="13"/>
  <c r="H18" i="13"/>
  <c r="H14" i="13"/>
  <c r="H10" i="13"/>
  <c r="H6" i="13"/>
  <c r="H38" i="12"/>
  <c r="H34" i="12"/>
  <c r="H30" i="12"/>
  <c r="H26" i="12"/>
  <c r="H22" i="12"/>
  <c r="H18" i="12"/>
  <c r="H14" i="12"/>
  <c r="H10" i="12"/>
  <c r="H6" i="12"/>
  <c r="H2" i="12"/>
  <c r="H40" i="4"/>
  <c r="H36" i="4"/>
  <c r="H32" i="4"/>
  <c r="H28" i="4"/>
  <c r="H24" i="4"/>
  <c r="H20" i="4"/>
  <c r="H16" i="4"/>
  <c r="H12" i="4"/>
  <c r="H8" i="4"/>
  <c r="H4" i="4"/>
  <c r="H39" i="3"/>
  <c r="H35" i="3"/>
  <c r="H31" i="3"/>
  <c r="H27" i="3"/>
  <c r="H23" i="3"/>
  <c r="H19" i="3"/>
  <c r="H15" i="3"/>
  <c r="H11" i="3"/>
  <c r="H3" i="3"/>
  <c r="H38" i="2"/>
  <c r="H34" i="2"/>
  <c r="H30" i="2"/>
  <c r="H26" i="2"/>
  <c r="H22" i="2"/>
  <c r="H18" i="2"/>
  <c r="H14" i="2"/>
  <c r="H10" i="2"/>
  <c r="H6" i="2"/>
  <c r="H2" i="2"/>
  <c r="H40" i="11"/>
  <c r="H36" i="11"/>
  <c r="H28" i="11"/>
  <c r="H24" i="11"/>
  <c r="H20" i="11"/>
  <c r="H16" i="11"/>
  <c r="H8" i="11"/>
  <c r="H4" i="11"/>
  <c r="H39" i="4"/>
  <c r="H31" i="4"/>
  <c r="H23" i="4"/>
  <c r="H19" i="4"/>
  <c r="H11" i="4"/>
  <c r="H3" i="4"/>
  <c r="H38" i="3"/>
  <c r="H34" i="3"/>
  <c r="H30" i="3"/>
  <c r="H26" i="3"/>
  <c r="H22" i="3"/>
  <c r="H18" i="3"/>
  <c r="H14" i="3"/>
  <c r="H10" i="3"/>
  <c r="H2" i="3"/>
  <c r="H30" i="13"/>
  <c r="H2" i="13"/>
  <c r="H40" i="14"/>
  <c r="H36" i="14"/>
  <c r="H32" i="14"/>
  <c r="H28" i="14"/>
  <c r="H24" i="14"/>
  <c r="H20" i="14"/>
  <c r="H12" i="14"/>
  <c r="H4" i="14"/>
  <c r="H40" i="13"/>
  <c r="H36" i="13"/>
  <c r="H32" i="13"/>
  <c r="H28" i="13"/>
  <c r="H24" i="13"/>
  <c r="H20" i="13"/>
  <c r="H16" i="13"/>
  <c r="H12" i="13"/>
  <c r="H8" i="13"/>
  <c r="H4" i="13"/>
  <c r="H40" i="12"/>
  <c r="H36" i="12"/>
  <c r="H32" i="12"/>
  <c r="H28" i="12"/>
  <c r="H24" i="12"/>
  <c r="H20" i="12"/>
  <c r="H16" i="12"/>
  <c r="H12" i="12"/>
  <c r="H8" i="12"/>
  <c r="H4" i="12"/>
  <c r="H35" i="11"/>
  <c r="H31" i="11"/>
  <c r="H27" i="11"/>
  <c r="H23" i="11"/>
  <c r="H15" i="11"/>
  <c r="H11" i="11"/>
  <c r="H7" i="11"/>
  <c r="H3" i="11"/>
  <c r="H38" i="4"/>
  <c r="H34" i="4"/>
  <c r="H30" i="4"/>
  <c r="H26" i="4"/>
  <c r="H22" i="4"/>
  <c r="H18" i="4"/>
  <c r="H14" i="4"/>
  <c r="H10" i="4"/>
  <c r="H6" i="4"/>
  <c r="H2" i="4"/>
  <c r="H40" i="2"/>
  <c r="H36" i="2"/>
  <c r="H32" i="2"/>
  <c r="H24" i="2"/>
  <c r="H20" i="2"/>
  <c r="H16" i="2"/>
  <c r="H4" i="2"/>
  <c r="H39" i="14"/>
  <c r="H35" i="14"/>
  <c r="H31" i="14"/>
  <c r="H27" i="14"/>
  <c r="H23" i="14"/>
  <c r="H15" i="14"/>
  <c r="H11" i="14"/>
  <c r="H3" i="14"/>
  <c r="H35" i="13"/>
  <c r="H27" i="13"/>
  <c r="H23" i="13"/>
  <c r="H15" i="13"/>
  <c r="H7" i="13"/>
  <c r="H3" i="13"/>
  <c r="H39" i="12"/>
  <c r="H35" i="12"/>
  <c r="H31" i="12"/>
  <c r="H27" i="12"/>
  <c r="H23" i="12"/>
  <c r="H15" i="12"/>
  <c r="H11" i="12"/>
  <c r="H7" i="12"/>
  <c r="H3" i="12"/>
  <c r="H38" i="11"/>
  <c r="H34" i="11"/>
  <c r="H30" i="11"/>
  <c r="H26" i="11"/>
  <c r="H22" i="11"/>
  <c r="H18" i="11"/>
  <c r="H14" i="11"/>
  <c r="H10" i="11"/>
  <c r="H6" i="11"/>
  <c r="H2" i="11"/>
  <c r="H40" i="3"/>
  <c r="H36" i="3"/>
  <c r="H32" i="3"/>
  <c r="H28" i="3"/>
  <c r="H24" i="3"/>
  <c r="H20" i="3"/>
  <c r="H16" i="3"/>
  <c r="H12" i="3"/>
  <c r="H8" i="3"/>
  <c r="H4" i="3"/>
  <c r="H39" i="2"/>
  <c r="H35" i="2"/>
  <c r="H31" i="2"/>
  <c r="H27" i="2"/>
  <c r="H23" i="2"/>
  <c r="H19" i="2"/>
  <c r="H15" i="2"/>
  <c r="H11" i="2"/>
  <c r="H7" i="2"/>
  <c r="H3" i="2"/>
  <c r="L7" i="17"/>
  <c r="L2" i="17"/>
  <c r="L3" i="17"/>
  <c r="L4" i="17"/>
  <c r="L5" i="17"/>
  <c r="L6" i="17"/>
  <c r="L7" i="16"/>
  <c r="L2" i="16"/>
  <c r="L3" i="16"/>
  <c r="L4" i="16"/>
  <c r="L5" i="16"/>
  <c r="L6" i="16"/>
  <c r="L2" i="15"/>
  <c r="L3" i="15"/>
  <c r="L4" i="15"/>
  <c r="L5" i="15"/>
  <c r="L6" i="15"/>
  <c r="L7" i="15"/>
  <c r="G38" i="7"/>
  <c r="G68" i="7"/>
  <c r="E65" i="7"/>
  <c r="C64" i="7"/>
  <c r="B77" i="7"/>
  <c r="G86" i="7"/>
  <c r="B67" i="7"/>
  <c r="E42" i="7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C31" i="7"/>
  <c r="C42" i="7"/>
  <c r="E75" i="7"/>
  <c r="F74" i="7"/>
  <c r="B87" i="7"/>
  <c r="H89" i="4"/>
  <c r="H90" i="4"/>
  <c r="H91" i="4"/>
  <c r="H92" i="4"/>
  <c r="H93" i="4"/>
  <c r="C48" i="7"/>
  <c r="G66" i="7"/>
  <c r="D68" i="7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G55" i="7"/>
  <c r="D59" i="7"/>
  <c r="C59" i="7"/>
  <c r="F31" i="7"/>
  <c r="D83" i="7"/>
  <c r="F39" i="7"/>
  <c r="G73" i="7"/>
  <c r="D47" i="7"/>
  <c r="E51" i="7"/>
  <c r="F29" i="7"/>
  <c r="B38" i="7"/>
  <c r="C40" i="7"/>
  <c r="B60" i="7"/>
  <c r="D86" i="7"/>
  <c r="B50" i="7"/>
  <c r="G32" i="7"/>
  <c r="G30" i="7"/>
  <c r="D67" i="7"/>
  <c r="D41" i="7"/>
  <c r="E33" i="7"/>
  <c r="G29" i="7"/>
  <c r="B57" i="7"/>
  <c r="D38" i="7"/>
  <c r="F58" i="7"/>
  <c r="D46" i="7"/>
  <c r="E84" i="7"/>
  <c r="C73" i="7"/>
  <c r="E46" i="7"/>
  <c r="D69" i="7"/>
  <c r="C32" i="7"/>
  <c r="D73" i="7"/>
  <c r="C37" i="7"/>
  <c r="C46" i="7"/>
  <c r="G82" i="7"/>
  <c r="E69" i="7"/>
  <c r="B68" i="7"/>
  <c r="E29" i="7"/>
  <c r="B47" i="7"/>
  <c r="F84" i="7"/>
  <c r="G64" i="7"/>
  <c r="C86" i="7"/>
  <c r="E60" i="7"/>
  <c r="D51" i="7"/>
  <c r="F60" i="7"/>
  <c r="E47" i="7"/>
  <c r="F49" i="7"/>
  <c r="D56" i="7"/>
  <c r="C87" i="7"/>
  <c r="D28" i="7"/>
  <c r="D74" i="7"/>
  <c r="G83" i="7"/>
  <c r="C60" i="7"/>
  <c r="D65" i="7"/>
  <c r="G40" i="7"/>
  <c r="B83" i="7"/>
  <c r="E59" i="7"/>
  <c r="D64" i="7"/>
  <c r="G58" i="7"/>
  <c r="G37" i="7"/>
  <c r="F56" i="7"/>
  <c r="G65" i="7"/>
  <c r="G28" i="7"/>
  <c r="F46" i="7"/>
  <c r="E74" i="7"/>
  <c r="D82" i="7"/>
  <c r="D42" i="7"/>
  <c r="F51" i="7"/>
  <c r="B78" i="7"/>
  <c r="C51" i="7"/>
  <c r="C49" i="7"/>
  <c r="G48" i="7"/>
  <c r="G47" i="7"/>
  <c r="C50" i="7"/>
  <c r="G67" i="7"/>
  <c r="F65" i="7"/>
  <c r="G57" i="7"/>
  <c r="D85" i="7"/>
  <c r="E37" i="7"/>
  <c r="C75" i="7"/>
  <c r="F30" i="7"/>
  <c r="F37" i="7"/>
  <c r="C66" i="7"/>
  <c r="G74" i="7"/>
  <c r="F33" i="7"/>
  <c r="G85" i="7"/>
  <c r="F47" i="7"/>
  <c r="B33" i="7"/>
  <c r="B84" i="7"/>
  <c r="B69" i="7"/>
  <c r="G75" i="7"/>
  <c r="F48" i="7"/>
  <c r="B42" i="7"/>
  <c r="C68" i="7"/>
  <c r="E30" i="7"/>
  <c r="C30" i="7"/>
  <c r="G50" i="7"/>
  <c r="E64" i="7"/>
  <c r="C33" i="7"/>
  <c r="F69" i="7"/>
  <c r="E78" i="7"/>
  <c r="F75" i="7"/>
  <c r="E87" i="7"/>
  <c r="F42" i="7"/>
  <c r="D58" i="7"/>
  <c r="B85" i="7"/>
  <c r="C41" i="7"/>
  <c r="G59" i="7"/>
  <c r="G56" i="7"/>
  <c r="B86" i="7"/>
  <c r="B76" i="7"/>
  <c r="D55" i="7"/>
  <c r="B58" i="7"/>
  <c r="B29" i="7"/>
  <c r="B75" i="7"/>
  <c r="D32" i="7"/>
  <c r="D40" i="7"/>
  <c r="B65" i="7"/>
  <c r="B31" i="7"/>
  <c r="G39" i="7"/>
  <c r="C78" i="7"/>
  <c r="F40" i="7"/>
  <c r="C82" i="7"/>
  <c r="C85" i="7"/>
  <c r="B41" i="7"/>
  <c r="E66" i="7"/>
  <c r="B49" i="7"/>
  <c r="D76" i="7"/>
  <c r="E68" i="7"/>
  <c r="E82" i="7"/>
  <c r="E56" i="7"/>
  <c r="E86" i="7"/>
  <c r="F28" i="7"/>
  <c r="D87" i="7"/>
  <c r="E57" i="7"/>
  <c r="C84" i="7"/>
  <c r="E55" i="7"/>
  <c r="F55" i="7"/>
  <c r="E41" i="7"/>
  <c r="F82" i="7"/>
  <c r="B51" i="7"/>
  <c r="C55" i="7"/>
  <c r="F76" i="7"/>
  <c r="F85" i="7"/>
  <c r="B48" i="7"/>
  <c r="E39" i="7"/>
  <c r="G31" i="7"/>
  <c r="E32" i="7"/>
  <c r="E77" i="7"/>
  <c r="F73" i="7"/>
  <c r="E83" i="7"/>
  <c r="B32" i="7"/>
  <c r="B30" i="7"/>
  <c r="B39" i="7"/>
  <c r="B66" i="7"/>
  <c r="G46" i="7"/>
  <c r="C39" i="7"/>
  <c r="F38" i="7"/>
  <c r="C28" i="7"/>
  <c r="D77" i="7"/>
  <c r="G41" i="7"/>
  <c r="F83" i="7"/>
  <c r="D60" i="7"/>
  <c r="C58" i="7"/>
  <c r="G84" i="7"/>
  <c r="B40" i="7"/>
  <c r="D33" i="7"/>
  <c r="B59" i="7"/>
  <c r="D29" i="7"/>
  <c r="E50" i="7"/>
  <c r="D37" i="7"/>
  <c r="D49" i="7"/>
  <c r="D31" i="7"/>
  <c r="E28" i="7"/>
  <c r="F57" i="7"/>
  <c r="F67" i="7"/>
  <c r="E48" i="7"/>
  <c r="C77" i="7"/>
  <c r="D50" i="7"/>
  <c r="G77" i="7"/>
  <c r="F64" i="7"/>
  <c r="C67" i="7"/>
  <c r="G76" i="7"/>
  <c r="E38" i="7"/>
  <c r="F66" i="7"/>
  <c r="B74" i="7"/>
  <c r="F87" i="7"/>
  <c r="C57" i="7"/>
  <c r="E73" i="7"/>
  <c r="G49" i="7"/>
  <c r="F78" i="7"/>
  <c r="B56" i="7"/>
  <c r="C69" i="7"/>
  <c r="C76" i="7"/>
  <c r="D78" i="7"/>
  <c r="K6" i="16"/>
  <c r="K7" i="17"/>
  <c r="K3" i="17"/>
  <c r="K4" i="17"/>
  <c r="K2" i="17"/>
  <c r="K6" i="17"/>
  <c r="K5" i="17"/>
  <c r="K2" i="16"/>
  <c r="K5" i="16"/>
  <c r="K7" i="16"/>
  <c r="K4" i="16"/>
  <c r="K3" i="16"/>
  <c r="K4" i="15"/>
  <c r="K2" i="15"/>
  <c r="K6" i="15"/>
  <c r="K3" i="15"/>
  <c r="K7" i="15"/>
  <c r="K5" i="15"/>
  <c r="D20" i="7"/>
  <c r="D19" i="7"/>
  <c r="E21" i="7"/>
  <c r="E20" i="7"/>
  <c r="E19" i="7"/>
  <c r="F22" i="7"/>
  <c r="F21" i="7"/>
  <c r="F20" i="7"/>
  <c r="F19" i="7"/>
  <c r="G23" i="7"/>
  <c r="G22" i="7"/>
  <c r="G21" i="7"/>
  <c r="G20" i="7"/>
  <c r="G19" i="7"/>
  <c r="F24" i="7"/>
  <c r="E24" i="7"/>
  <c r="E23" i="7"/>
  <c r="D24" i="7"/>
  <c r="D23" i="7"/>
  <c r="D22" i="7"/>
  <c r="C24" i="7"/>
  <c r="B24" i="7"/>
  <c r="C23" i="7"/>
  <c r="B23" i="7"/>
  <c r="C22" i="7"/>
  <c r="B22" i="7"/>
  <c r="C21" i="7"/>
  <c r="B21" i="7"/>
  <c r="B20" i="7"/>
  <c r="C19" i="7"/>
  <c r="L2" i="9"/>
  <c r="L3" i="9"/>
  <c r="L4" i="9"/>
  <c r="L5" i="9"/>
  <c r="L6" i="9"/>
  <c r="L7" i="9"/>
  <c r="L8" i="9"/>
  <c r="L9" i="9"/>
  <c r="L10" i="9"/>
  <c r="L11" i="9"/>
  <c r="L2" i="5"/>
  <c r="L3" i="5"/>
  <c r="L4" i="5"/>
  <c r="L5" i="5"/>
  <c r="L6" i="5"/>
  <c r="L7" i="5"/>
  <c r="L2" i="10"/>
  <c r="L3" i="10"/>
  <c r="L4" i="10"/>
  <c r="L5" i="10"/>
  <c r="L6" i="10"/>
  <c r="L7" i="10"/>
  <c r="I93" i="7"/>
  <c r="K97" i="7"/>
  <c r="N100" i="7"/>
  <c r="H102" i="7"/>
  <c r="H95" i="7"/>
  <c r="C102" i="7"/>
  <c r="M103" i="7"/>
  <c r="B103" i="7"/>
  <c r="N99" i="7"/>
  <c r="J91" i="7"/>
  <c r="M96" i="7"/>
  <c r="K103" i="7"/>
  <c r="J102" i="7"/>
  <c r="J93" i="7"/>
  <c r="I95" i="7"/>
  <c r="G95" i="7"/>
  <c r="J95" i="7"/>
  <c r="M93" i="7"/>
  <c r="D96" i="7"/>
  <c r="J100" i="7"/>
  <c r="G99" i="7"/>
  <c r="I100" i="7"/>
  <c r="O95" i="7"/>
  <c r="N98" i="7"/>
  <c r="J98" i="7"/>
  <c r="O93" i="7"/>
  <c r="J104" i="7"/>
  <c r="H92" i="7"/>
  <c r="N95" i="7"/>
  <c r="F104" i="7"/>
  <c r="I104" i="7"/>
  <c r="D102" i="7"/>
  <c r="C104" i="7"/>
  <c r="N93" i="7"/>
  <c r="F100" i="7"/>
  <c r="F93" i="7"/>
  <c r="D95" i="7"/>
  <c r="G100" i="7"/>
  <c r="F96" i="7"/>
  <c r="I102" i="7"/>
  <c r="K102" i="7"/>
  <c r="C100" i="7"/>
  <c r="K98" i="7"/>
  <c r="J103" i="7"/>
  <c r="B99" i="7"/>
  <c r="D98" i="7"/>
  <c r="F98" i="7"/>
  <c r="H93" i="7"/>
  <c r="F97" i="7"/>
  <c r="H99" i="7"/>
  <c r="F92" i="7"/>
  <c r="O100" i="7"/>
  <c r="G91" i="7"/>
  <c r="H96" i="7"/>
  <c r="O96" i="7"/>
  <c r="M100" i="7"/>
  <c r="M92" i="7"/>
  <c r="B96" i="7"/>
  <c r="I97" i="7"/>
  <c r="M91" i="7"/>
  <c r="C103" i="7"/>
  <c r="F103" i="7"/>
  <c r="G93" i="7"/>
  <c r="O98" i="7"/>
  <c r="C93" i="7"/>
  <c r="G102" i="7"/>
  <c r="N102" i="7"/>
  <c r="N97" i="7"/>
  <c r="B95" i="7"/>
  <c r="D97" i="7"/>
  <c r="N104" i="7"/>
  <c r="J97" i="7"/>
  <c r="K96" i="7"/>
  <c r="K99" i="7"/>
  <c r="O102" i="7"/>
  <c r="J96" i="7"/>
  <c r="G97" i="7"/>
  <c r="O92" i="7"/>
  <c r="O99" i="7"/>
  <c r="M98" i="7"/>
  <c r="M97" i="7"/>
  <c r="C96" i="7"/>
  <c r="H91" i="7"/>
  <c r="M99" i="7"/>
  <c r="B93" i="7"/>
  <c r="D103" i="7"/>
  <c r="F99" i="7"/>
  <c r="G92" i="7"/>
  <c r="G98" i="7"/>
  <c r="C98" i="7"/>
  <c r="D92" i="7"/>
  <c r="B97" i="7"/>
  <c r="N92" i="7"/>
  <c r="K95" i="7"/>
  <c r="H100" i="7"/>
  <c r="D104" i="7"/>
  <c r="F91" i="7"/>
  <c r="B100" i="7"/>
  <c r="C95" i="7"/>
  <c r="I99" i="7"/>
  <c r="O91" i="7"/>
  <c r="K104" i="7"/>
  <c r="H98" i="7"/>
  <c r="O103" i="7"/>
  <c r="I96" i="7"/>
  <c r="G104" i="7"/>
  <c r="M104" i="7"/>
  <c r="N91" i="7"/>
  <c r="K91" i="7"/>
  <c r="H103" i="7"/>
  <c r="D99" i="7"/>
  <c r="B104" i="7"/>
  <c r="B102" i="7"/>
  <c r="I92" i="7"/>
  <c r="C97" i="7"/>
  <c r="I103" i="7"/>
  <c r="D91" i="7"/>
  <c r="K9" i="9"/>
  <c r="K10" i="9"/>
  <c r="K11" i="9"/>
  <c r="K7" i="9"/>
  <c r="K8" i="9"/>
  <c r="K6" i="5"/>
  <c r="K5" i="5"/>
  <c r="K3" i="5"/>
  <c r="K4" i="5"/>
  <c r="K7" i="5"/>
  <c r="A18" i="7"/>
  <c r="G17" i="7"/>
  <c r="F17" i="7"/>
  <c r="E17" i="7"/>
  <c r="K2" i="10"/>
  <c r="K7" i="10"/>
  <c r="K6" i="10"/>
  <c r="K5" i="10"/>
  <c r="K4" i="10"/>
  <c r="K3" i="10"/>
  <c r="K2" i="9"/>
  <c r="K4" i="9"/>
  <c r="K6" i="9"/>
  <c r="K3" i="9"/>
  <c r="K5" i="9"/>
  <c r="L2" i="6"/>
  <c r="L3" i="6"/>
  <c r="L4" i="6"/>
  <c r="L5" i="6"/>
  <c r="L6" i="6"/>
  <c r="L7" i="6"/>
  <c r="L2" i="1"/>
  <c r="L3" i="1"/>
  <c r="L4" i="1"/>
  <c r="L5" i="1"/>
  <c r="L6" i="1"/>
  <c r="L7" i="1"/>
  <c r="K3" i="6"/>
  <c r="K2" i="6"/>
  <c r="K5" i="6"/>
  <c r="K7" i="6"/>
  <c r="K6" i="6"/>
  <c r="K4" i="6"/>
  <c r="K2" i="1"/>
  <c r="K3" i="1"/>
  <c r="K5" i="1"/>
  <c r="K7" i="1"/>
  <c r="K6" i="1"/>
  <c r="K4" i="1"/>
  <c r="K2" i="5"/>
  <c r="B17" i="7"/>
  <c r="C17" i="7"/>
  <c r="D17" i="7"/>
</calcChain>
</file>

<file path=xl/sharedStrings.xml><?xml version="1.0" encoding="utf-8"?>
<sst xmlns="http://schemas.openxmlformats.org/spreadsheetml/2006/main" count="1108" uniqueCount="229">
  <si>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</si>
  <si>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</si>
  <si>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</si>
  <si>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</si>
  <si>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DengXian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</si>
  <si>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DengXian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</si>
  <si>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</si>
  <si>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</si>
  <si>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</si>
  <si>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</si>
  <si>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</si>
  <si>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</si>
  <si>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塞维利亚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</si>
  <si>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</si>
  <si>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</si>
  <si>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</si>
  <si>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</si>
  <si>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</si>
  <si>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</si>
  <si>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</si>
  <si>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</si>
  <si>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</si>
  <si>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</si>
  <si>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</si>
  <si>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</si>
  <si>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</si>
  <si>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瓦伦西亚</t>
  </si>
  <si>
    <t>第8輪</t>
  </si>
  <si>
    <t>第9輪</t>
  </si>
  <si>
    <t>第10輪</t>
  </si>
  <si>
    <t>第11輪</t>
  </si>
  <si>
    <t>加拉塔萨雷</t>
  </si>
  <si>
    <t>那不勒斯</t>
  </si>
  <si>
    <t>拉齐奥</t>
  </si>
  <si>
    <t>贝</t>
    <phoneticPr fontId="1"/>
  </si>
  <si>
    <t>磊</t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</si>
  <si>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</si>
  <si>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</si>
  <si>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</si>
  <si>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</si>
  <si>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</si>
  <si>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</si>
  <si>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</si>
  <si>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</si>
  <si>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</si>
  <si>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</si>
  <si>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</si>
  <si>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</si>
  <si>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DengXian"/>
        <family val="2"/>
        <charset val="128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</si>
  <si>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</si>
  <si>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</si>
  <si>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</si>
  <si>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</si>
  <si>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DengXian"/>
        <family val="2"/>
        <charset val="128"/>
        <scheme val="minor"/>
      </rPr>
      <t>队</t>
    </r>
    <r>
      <rPr>
        <sz val="11"/>
        <color theme="0"/>
        <rFont val="DengXian"/>
        <family val="2"/>
        <charset val="128"/>
        <scheme val="minor"/>
      </rPr>
      <t>名</t>
    </r>
    <phoneticPr fontId="1"/>
  </si>
  <si>
    <r>
      <rPr>
        <sz val="11"/>
        <color theme="0"/>
        <rFont val="DengXian"/>
        <family val="2"/>
        <charset val="128"/>
        <scheme val="minor"/>
      </rPr>
      <t>总</t>
    </r>
    <phoneticPr fontId="1"/>
  </si>
  <si>
    <r>
      <rPr>
        <sz val="11"/>
        <color theme="0"/>
        <rFont val="DengXian"/>
        <family val="2"/>
        <charset val="128"/>
        <scheme val="minor"/>
      </rPr>
      <t>胜</t>
    </r>
    <phoneticPr fontId="1"/>
  </si>
  <si>
    <r>
      <rPr>
        <sz val="11"/>
        <color theme="0"/>
        <rFont val="DengXian"/>
        <family val="2"/>
        <charset val="128"/>
        <scheme val="minor"/>
      </rPr>
      <t>负</t>
    </r>
    <phoneticPr fontId="1"/>
  </si>
  <si>
    <r>
      <rPr>
        <sz val="11"/>
        <color theme="0"/>
        <rFont val="DengXian"/>
        <family val="2"/>
        <charset val="128"/>
        <scheme val="minor"/>
      </rPr>
      <t>进</t>
    </r>
    <phoneticPr fontId="1"/>
  </si>
  <si>
    <r>
      <rPr>
        <sz val="11"/>
        <color theme="0"/>
        <rFont val="DengXian"/>
        <family val="2"/>
        <charset val="128"/>
        <scheme val="minor"/>
      </rP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</si>
  <si>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r>
      <rPr>
        <sz val="11"/>
        <color theme="0"/>
        <rFont val="DengXian"/>
        <family val="2"/>
        <charset val="128"/>
        <scheme val="minor"/>
      </rPr>
      <t>积</t>
    </r>
    <r>
      <rPr>
        <sz val="11"/>
        <color theme="0"/>
        <rFont val="DengXian"/>
        <family val="2"/>
        <charset val="128"/>
        <scheme val="minor"/>
      </rPr>
      <t>分</t>
    </r>
    <phoneticPr fontId="1"/>
  </si>
  <si>
    <t>拜仁慕尼黑</t>
  </si>
  <si>
    <t>顿涅茨克矿工</t>
  </si>
  <si>
    <t>AC米兰</t>
  </si>
  <si>
    <t>德甲</t>
    <phoneticPr fontId="1"/>
  </si>
  <si>
    <t>队名</t>
    <phoneticPr fontId="1"/>
  </si>
  <si>
    <t>失</t>
    <phoneticPr fontId="1"/>
  </si>
  <si>
    <r>
      <rPr>
        <sz val="11"/>
        <color theme="0"/>
        <rFont val="DengXian"/>
        <family val="2"/>
        <charset val="128"/>
        <scheme val="minor"/>
      </rP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</si>
  <si>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r>
      <rPr>
        <sz val="11"/>
        <color theme="0"/>
        <rFont val="DengXian"/>
        <family val="2"/>
        <charset val="128"/>
        <scheme val="minor"/>
      </rPr>
      <t>积</t>
    </r>
    <r>
      <rPr>
        <sz val="11"/>
        <color theme="0"/>
        <rFont val="DengXian"/>
        <family val="2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</si>
  <si>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</si>
  <si>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</si>
  <si>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</si>
  <si>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</si>
  <si>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欧冠</t>
    <phoneticPr fontId="1"/>
  </si>
  <si>
    <t>埃因霍温</t>
  </si>
  <si>
    <t>曼彻斯特联</t>
  </si>
  <si>
    <t>拜仁慕尼黑</t>
    <phoneticPr fontId="1"/>
  </si>
  <si>
    <t>塞维利亚</t>
    <phoneticPr fontId="1"/>
  </si>
  <si>
    <t>贝2</t>
    <phoneticPr fontId="1"/>
  </si>
  <si>
    <t>磊2</t>
    <phoneticPr fontId="1"/>
  </si>
  <si>
    <t>二2</t>
    <phoneticPr fontId="1"/>
  </si>
  <si>
    <t>举2</t>
    <rPh sb="0" eb="1">
      <t>ju</t>
    </rPh>
    <phoneticPr fontId="1"/>
  </si>
  <si>
    <t>爷2</t>
    <phoneticPr fontId="1"/>
  </si>
  <si>
    <t>黑2</t>
    <rPh sb="0" eb="1">
      <t>hei</t>
    </rPh>
    <phoneticPr fontId="1"/>
  </si>
  <si>
    <t>宇2</t>
    <rPh sb="0" eb="1">
      <t>yu</t>
    </rPh>
    <phoneticPr fontId="1"/>
  </si>
  <si>
    <t>加拉塔萨雷</t>
    <phoneticPr fontId="1"/>
  </si>
  <si>
    <t>皇家马德里</t>
    <phoneticPr fontId="1"/>
  </si>
  <si>
    <t>顿涅茨克矿工</t>
    <phoneticPr fontId="1"/>
  </si>
  <si>
    <t>那不勒斯</t>
    <phoneticPr fontId="1"/>
  </si>
  <si>
    <r>
      <t>沃</t>
    </r>
    <r>
      <rPr>
        <sz val="11"/>
        <color theme="1"/>
        <rFont val="DengXian"/>
        <family val="2"/>
        <charset val="128"/>
        <scheme val="minor"/>
      </rPr>
      <t>尔夫斯堡</t>
    </r>
    <phoneticPr fontId="1"/>
  </si>
  <si>
    <r>
      <t>巴塞</t>
    </r>
    <r>
      <rPr>
        <sz val="11"/>
        <color theme="1"/>
        <rFont val="DengXian"/>
        <family val="2"/>
        <charset val="128"/>
        <scheme val="minor"/>
      </rPr>
      <t>罗那</t>
    </r>
    <phoneticPr fontId="1"/>
  </si>
  <si>
    <r>
      <t>拉</t>
    </r>
    <r>
      <rPr>
        <sz val="11"/>
        <color theme="1"/>
        <rFont val="DengXian"/>
        <family val="2"/>
        <charset val="128"/>
        <scheme val="minor"/>
      </rPr>
      <t>齐奥</t>
    </r>
    <phoneticPr fontId="1"/>
  </si>
  <si>
    <t>罗马</t>
    <phoneticPr fontId="1"/>
  </si>
  <si>
    <r>
      <t>沙</t>
    </r>
    <r>
      <rPr>
        <sz val="11"/>
        <color theme="1"/>
        <rFont val="DengXian"/>
        <family val="2"/>
        <charset val="128"/>
        <scheme val="minor"/>
      </rPr>
      <t>尔克04</t>
    </r>
    <phoneticPr fontId="1"/>
  </si>
  <si>
    <r>
      <t>比利</t>
    </r>
    <r>
      <rPr>
        <sz val="11"/>
        <color theme="1"/>
        <rFont val="DengXian"/>
        <family val="2"/>
        <charset val="128"/>
        <scheme val="minor"/>
      </rPr>
      <t>亚雷亚尔</t>
    </r>
    <phoneticPr fontId="1"/>
  </si>
  <si>
    <r>
      <t>AC米</t>
    </r>
    <r>
      <rPr>
        <sz val="11"/>
        <color theme="1"/>
        <rFont val="DengXian"/>
        <family val="2"/>
        <charset val="128"/>
        <scheme val="minor"/>
      </rPr>
      <t>兰</t>
    </r>
    <phoneticPr fontId="1"/>
  </si>
  <si>
    <r>
      <t>莱比</t>
    </r>
    <r>
      <rPr>
        <sz val="11"/>
        <color theme="1"/>
        <rFont val="DengXian"/>
        <family val="2"/>
        <charset val="128"/>
        <scheme val="minor"/>
      </rPr>
      <t>锡红牛</t>
    </r>
    <phoneticPr fontId="1"/>
  </si>
  <si>
    <r>
      <t>瓦</t>
    </r>
    <r>
      <rPr>
        <sz val="11"/>
        <color theme="1"/>
        <rFont val="DengXian"/>
        <family val="2"/>
        <charset val="128"/>
        <scheme val="minor"/>
      </rPr>
      <t>伦西亚</t>
    </r>
    <phoneticPr fontId="1"/>
  </si>
  <si>
    <t>安德莱赫特</t>
    <phoneticPr fontId="1"/>
  </si>
  <si>
    <t>热那亚</t>
    <phoneticPr fontId="1"/>
  </si>
  <si>
    <t>门兴格拉德巴赫</t>
    <phoneticPr fontId="1"/>
  </si>
  <si>
    <r>
      <t>皇家</t>
    </r>
    <r>
      <rPr>
        <sz val="11"/>
        <color theme="1"/>
        <rFont val="DengXian"/>
        <family val="2"/>
        <charset val="128"/>
        <scheme val="minor"/>
      </rPr>
      <t>社会</t>
    </r>
    <phoneticPr fontId="1"/>
  </si>
  <si>
    <t>费内巴切</t>
    <phoneticPr fontId="1"/>
  </si>
  <si>
    <t>都灵</t>
    <phoneticPr fontId="1"/>
  </si>
  <si>
    <r>
      <t>勒沃</t>
    </r>
    <r>
      <rPr>
        <sz val="11"/>
        <color theme="1"/>
        <rFont val="DengXian"/>
        <family val="2"/>
        <charset val="128"/>
        <scheme val="minor"/>
      </rPr>
      <t>库森</t>
    </r>
    <phoneticPr fontId="1"/>
  </si>
  <si>
    <t>莫斯科斯巴达</t>
    <phoneticPr fontId="1"/>
  </si>
  <si>
    <t>磊2</t>
    <phoneticPr fontId="1"/>
  </si>
  <si>
    <t>爷2</t>
    <phoneticPr fontId="1"/>
  </si>
  <si>
    <t>贝西科塔斯</t>
    <phoneticPr fontId="1"/>
  </si>
  <si>
    <t>荷葡</t>
    <phoneticPr fontId="1"/>
  </si>
  <si>
    <t>法甲</t>
    <phoneticPr fontId="1"/>
  </si>
  <si>
    <t>英超</t>
    <phoneticPr fontId="1"/>
  </si>
  <si>
    <t>埃因霍温</t>
    <phoneticPr fontId="1"/>
  </si>
  <si>
    <t>里昂</t>
    <phoneticPr fontId="1"/>
  </si>
  <si>
    <r>
      <t>阿森</t>
    </r>
    <r>
      <rPr>
        <sz val="11"/>
        <color theme="1"/>
        <rFont val="DengXian"/>
        <family val="2"/>
        <charset val="128"/>
        <scheme val="minor"/>
      </rPr>
      <t>纳</t>
    </r>
    <phoneticPr fontId="1"/>
  </si>
  <si>
    <t>本菲卡</t>
    <phoneticPr fontId="1"/>
  </si>
  <si>
    <r>
      <t>摩</t>
    </r>
    <r>
      <rPr>
        <sz val="11"/>
        <color theme="1"/>
        <rFont val="DengXian"/>
        <family val="2"/>
        <charset val="128"/>
        <scheme val="minor"/>
      </rPr>
      <t>纳哥</t>
    </r>
    <phoneticPr fontId="1"/>
  </si>
  <si>
    <r>
      <t>曼</t>
    </r>
    <r>
      <rPr>
        <sz val="11"/>
        <color theme="1"/>
        <rFont val="DengXian"/>
        <family val="2"/>
        <charset val="128"/>
        <scheme val="minor"/>
      </rPr>
      <t>彻斯特联</t>
    </r>
    <phoneticPr fontId="1"/>
  </si>
  <si>
    <r>
      <t>切</t>
    </r>
    <r>
      <rPr>
        <sz val="11"/>
        <color theme="1"/>
        <rFont val="DengXian"/>
        <family val="2"/>
        <charset val="128"/>
        <scheme val="minor"/>
      </rPr>
      <t>尔西</t>
    </r>
    <phoneticPr fontId="1"/>
  </si>
  <si>
    <r>
      <t>波</t>
    </r>
    <r>
      <rPr>
        <sz val="11"/>
        <color theme="1"/>
        <rFont val="DengXian"/>
        <family val="2"/>
        <charset val="128"/>
        <scheme val="minor"/>
      </rPr>
      <t>尔图</t>
    </r>
    <phoneticPr fontId="1"/>
  </si>
  <si>
    <t>巴黎圣日耳曼</t>
    <phoneticPr fontId="1"/>
  </si>
  <si>
    <t>曼彻斯特城</t>
    <phoneticPr fontId="1"/>
  </si>
  <si>
    <t>圣埃蒂安</t>
    <phoneticPr fontId="1"/>
  </si>
  <si>
    <t>费耶诺德</t>
    <phoneticPr fontId="1"/>
  </si>
  <si>
    <r>
      <t>阿</t>
    </r>
    <r>
      <rPr>
        <sz val="11"/>
        <color theme="1"/>
        <rFont val="DengXian"/>
        <family val="2"/>
        <charset val="128"/>
        <scheme val="minor"/>
      </rPr>
      <t>贾克斯</t>
    </r>
    <phoneticPr fontId="1"/>
  </si>
  <si>
    <r>
      <t>波</t>
    </r>
    <r>
      <rPr>
        <sz val="11"/>
        <color theme="1"/>
        <rFont val="DengXian"/>
        <family val="2"/>
        <charset val="128"/>
        <scheme val="minor"/>
      </rPr>
      <t>尔多</t>
    </r>
    <phoneticPr fontId="1"/>
  </si>
  <si>
    <t>利物浦</t>
    <phoneticPr fontId="1"/>
  </si>
  <si>
    <t>葡萄牙体育</t>
    <phoneticPr fontId="1"/>
  </si>
  <si>
    <r>
      <t>托特</t>
    </r>
    <r>
      <rPr>
        <sz val="11"/>
        <color theme="1"/>
        <rFont val="DengXian"/>
        <family val="2"/>
        <charset val="128"/>
        <scheme val="minor"/>
      </rPr>
      <t>纳姆热刺</t>
    </r>
    <phoneticPr fontId="1"/>
  </si>
  <si>
    <t>尼斯</t>
    <phoneticPr fontId="1"/>
  </si>
  <si>
    <t>巴塞罗那</t>
  </si>
  <si>
    <t>比利亚雷亚尔</t>
  </si>
  <si>
    <t>皇家社会</t>
  </si>
  <si>
    <t>贝西科塔斯</t>
  </si>
  <si>
    <t>莫斯科斯巴达</t>
  </si>
  <si>
    <t>费内巴切</t>
  </si>
  <si>
    <t>安德莱赫特</t>
  </si>
  <si>
    <t>罗马</t>
  </si>
  <si>
    <t>都灵</t>
  </si>
  <si>
    <t>热那亚</t>
  </si>
  <si>
    <t>门兴格拉德巴赫</t>
  </si>
  <si>
    <t>F</t>
    <phoneticPr fontId="1"/>
  </si>
  <si>
    <t>G</t>
    <phoneticPr fontId="1"/>
  </si>
  <si>
    <t>H</t>
    <phoneticPr fontId="1"/>
  </si>
  <si>
    <t>费耶诺德</t>
  </si>
  <si>
    <t>阿贾克斯</t>
  </si>
  <si>
    <t>葡萄牙体育</t>
  </si>
  <si>
    <t>波尔图</t>
  </si>
  <si>
    <t>摩纳哥</t>
  </si>
  <si>
    <t>里昂</t>
  </si>
  <si>
    <t>尼斯</t>
  </si>
  <si>
    <t>波尔多</t>
  </si>
  <si>
    <t>圣埃蒂安</t>
  </si>
  <si>
    <t>利物浦</t>
  </si>
  <si>
    <t>切尔西</t>
  </si>
  <si>
    <t>曼彻斯特城</t>
  </si>
  <si>
    <t>托特纳姆热刺</t>
  </si>
  <si>
    <t>阿森纳</t>
  </si>
  <si>
    <r>
      <rPr>
        <sz val="11"/>
        <rFont val="DengXian"/>
        <family val="3"/>
        <charset val="128"/>
        <scheme val="minor"/>
      </rPr>
      <t>总</t>
    </r>
    <phoneticPr fontId="1"/>
  </si>
  <si>
    <r>
      <rPr>
        <sz val="11"/>
        <rFont val="DengXian"/>
        <family val="3"/>
        <charset val="128"/>
        <scheme val="minor"/>
      </rPr>
      <t>胜</t>
    </r>
    <phoneticPr fontId="1"/>
  </si>
  <si>
    <t>平</t>
    <phoneticPr fontId="1"/>
  </si>
  <si>
    <r>
      <rPr>
        <sz val="11"/>
        <rFont val="DengXian"/>
        <family val="3"/>
        <charset val="128"/>
        <scheme val="minor"/>
      </rPr>
      <t>负</t>
    </r>
    <phoneticPr fontId="1"/>
  </si>
  <si>
    <r>
      <rPr>
        <sz val="11"/>
        <rFont val="DengXian"/>
        <family val="3"/>
        <charset val="128"/>
        <scheme val="minor"/>
      </rPr>
      <t>进</t>
    </r>
    <phoneticPr fontId="1"/>
  </si>
  <si>
    <t>失</t>
    <phoneticPr fontId="1"/>
  </si>
  <si>
    <t>净</t>
    <phoneticPr fontId="1"/>
  </si>
  <si>
    <t>积分</t>
    <phoneticPr fontId="1"/>
  </si>
  <si>
    <t>进</t>
    <phoneticPr fontId="1"/>
  </si>
  <si>
    <t>净</t>
    <phoneticPr fontId="1"/>
  </si>
  <si>
    <t>积分</t>
    <phoneticPr fontId="1"/>
  </si>
  <si>
    <t>沙尔克04</t>
    <phoneticPr fontId="1"/>
  </si>
  <si>
    <t>门兴格拉德巴赫</t>
    <phoneticPr fontId="1"/>
  </si>
  <si>
    <t>勒沃库森</t>
    <phoneticPr fontId="1"/>
  </si>
  <si>
    <t>莱比锡红牛</t>
    <phoneticPr fontId="1"/>
  </si>
  <si>
    <t>拜仁慕尼黑</t>
    <phoneticPr fontId="1"/>
  </si>
  <si>
    <t>沃尔夫斯堡</t>
    <phoneticPr fontId="1"/>
  </si>
  <si>
    <t>托特纳姆热刺</t>
    <phoneticPr fontId="1"/>
  </si>
  <si>
    <t>曼彻斯特联</t>
    <phoneticPr fontId="1"/>
  </si>
  <si>
    <t>利物浦</t>
    <phoneticPr fontId="1"/>
  </si>
  <si>
    <t>曼彻斯特城</t>
    <phoneticPr fontId="1"/>
  </si>
  <si>
    <t>阿森纳</t>
    <phoneticPr fontId="1"/>
  </si>
  <si>
    <t>切尔西</t>
    <phoneticPr fontId="1"/>
  </si>
  <si>
    <t>圣埃蒂安</t>
    <phoneticPr fontId="1"/>
  </si>
  <si>
    <t>波尔多</t>
    <phoneticPr fontId="1"/>
  </si>
  <si>
    <t>里昂</t>
    <phoneticPr fontId="1"/>
  </si>
  <si>
    <t>摩纳哥</t>
    <phoneticPr fontId="1"/>
  </si>
  <si>
    <t>尼斯</t>
    <phoneticPr fontId="1"/>
  </si>
  <si>
    <t>巴黎圣日耳曼</t>
    <phoneticPr fontId="1"/>
  </si>
  <si>
    <t>巴塞罗那</t>
    <phoneticPr fontId="1"/>
  </si>
  <si>
    <t>塞维利亚</t>
    <phoneticPr fontId="1"/>
  </si>
  <si>
    <t>瓦伦西亚</t>
    <phoneticPr fontId="1"/>
  </si>
  <si>
    <t>皇家社会</t>
    <phoneticPr fontId="1"/>
  </si>
  <si>
    <t>比利亚雷亚尔</t>
    <phoneticPr fontId="1"/>
  </si>
  <si>
    <t>皇家马德里</t>
    <phoneticPr fontId="1"/>
  </si>
  <si>
    <t>热那亚</t>
    <phoneticPr fontId="1"/>
  </si>
  <si>
    <t>AC米兰</t>
    <phoneticPr fontId="1"/>
  </si>
  <si>
    <t>拉齐奥</t>
    <phoneticPr fontId="1"/>
  </si>
  <si>
    <t>那不勒斯</t>
    <phoneticPr fontId="1"/>
  </si>
  <si>
    <t>都灵</t>
    <phoneticPr fontId="1"/>
  </si>
  <si>
    <t>罗马</t>
    <phoneticPr fontId="1"/>
  </si>
  <si>
    <t>贝西科塔斯</t>
    <phoneticPr fontId="1"/>
  </si>
  <si>
    <t>安德莱赫特</t>
    <phoneticPr fontId="1"/>
  </si>
  <si>
    <t>莫斯科斯巴达</t>
    <phoneticPr fontId="1"/>
  </si>
  <si>
    <t>费内巴切</t>
    <phoneticPr fontId="1"/>
  </si>
  <si>
    <t>顿涅茨克矿工</t>
    <phoneticPr fontId="1"/>
  </si>
  <si>
    <t>加拉塔萨雷</t>
    <phoneticPr fontId="1"/>
  </si>
  <si>
    <t>阿贾克斯</t>
    <phoneticPr fontId="1"/>
  </si>
  <si>
    <t>费耶诺德</t>
    <phoneticPr fontId="1"/>
  </si>
  <si>
    <t>埃因霍温</t>
    <phoneticPr fontId="1"/>
  </si>
  <si>
    <t>葡萄牙体育</t>
    <phoneticPr fontId="1"/>
  </si>
  <si>
    <t>本菲卡</t>
    <phoneticPr fontId="1"/>
  </si>
  <si>
    <t>波尔图</t>
    <phoneticPr fontId="1"/>
  </si>
  <si>
    <t>欧冠</t>
    <phoneticPr fontId="1"/>
  </si>
  <si>
    <r>
      <t>热</t>
    </r>
    <r>
      <rPr>
        <sz val="11"/>
        <color theme="1"/>
        <rFont val="DengXian"/>
        <family val="2"/>
        <charset val="128"/>
        <scheme val="minor"/>
      </rPr>
      <t>那</t>
    </r>
    <r>
      <rPr>
        <sz val="11"/>
        <color theme="1"/>
        <rFont val="DengXian"/>
        <family val="2"/>
        <charset val="128"/>
        <scheme val="minor"/>
      </rPr>
      <t>亚</t>
    </r>
    <phoneticPr fontId="1"/>
  </si>
  <si>
    <r>
      <t>AC米</t>
    </r>
    <r>
      <rPr>
        <sz val="11"/>
        <color theme="1"/>
        <rFont val="DengXian"/>
        <family val="2"/>
        <charset val="128"/>
        <scheme val="minor"/>
      </rPr>
      <t>兰</t>
    </r>
    <phoneticPr fontId="1"/>
  </si>
  <si>
    <t>第12輪</t>
  </si>
  <si>
    <t>第13輪</t>
  </si>
  <si>
    <t>第14輪</t>
  </si>
  <si>
    <t>第15輪</t>
  </si>
  <si>
    <t>第16輪</t>
  </si>
  <si>
    <t>第17輪</t>
  </si>
  <si>
    <t>第18輪</t>
  </si>
  <si>
    <t>I</t>
    <phoneticPr fontId="1"/>
  </si>
  <si>
    <t>阿贾克斯</t>
    <phoneticPr fontId="1"/>
  </si>
  <si>
    <t>圣埃蒂安</t>
    <phoneticPr fontId="1"/>
  </si>
  <si>
    <t>塞维利亚</t>
    <phoneticPr fontId="1"/>
  </si>
  <si>
    <t>托特纳姆热刺</t>
    <phoneticPr fontId="1"/>
  </si>
  <si>
    <t>热那亚</t>
    <phoneticPr fontId="1"/>
  </si>
  <si>
    <t>沙尔克04</t>
    <phoneticPr fontId="1"/>
  </si>
  <si>
    <t>巴塞罗那</t>
    <phoneticPr fontId="1"/>
  </si>
  <si>
    <t>AC米兰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</si>
</sst>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DengXian"/>
      <family val="2"/>
      <charset val="128"/>
      <scheme val="minor"/>
    </font>
    <font>
      <sz val="6"/>
      <name val="DengXian"/>
      <family val="2"/>
      <charset val="128"/>
      <scheme val="minor"/>
    </font>
    <font>
      <sz val="11"/>
      <color theme="1"/>
      <name val="DengXian"/>
      <family val="3"/>
      <charset val="134"/>
      <scheme val="minor"/>
    </font>
    <font>
      <sz val="11"/>
      <color theme="1"/>
      <name val="DengXian"/>
      <family val="3"/>
      <charset val="136"/>
      <scheme val="minor"/>
    </font>
    <font>
      <sz val="11"/>
      <color theme="0" tint="-0.14999847407452621"/>
      <name val="DengXian"/>
      <family val="3"/>
      <charset val="134"/>
      <scheme val="minor"/>
    </font>
    <font>
      <sz val="11"/>
      <color theme="0" tint="-0.14999847407452621"/>
      <name val="DengXian"/>
      <family val="3"/>
      <charset val="128"/>
      <scheme val="minor"/>
    </font>
    <font>
      <sz val="11"/>
      <color rgb="FFFF0000"/>
      <name val="DengXian"/>
      <family val="3"/>
      <charset val="134"/>
      <scheme val="minor"/>
    </font>
    <font>
      <sz val="11"/>
      <color theme="0" tint="-0.249977111117893"/>
      <name val="DengXian"/>
      <family val="3"/>
      <charset val="134"/>
      <scheme val="minor"/>
    </font>
    <font>
      <sz val="11"/>
      <color theme="0" tint="-0.249977111117893"/>
      <name val="DengXian"/>
      <family val="2"/>
      <charset val="128"/>
      <scheme val="minor"/>
    </font>
    <font>
      <sz val="11"/>
      <color theme="0"/>
      <name val="DengXian"/>
      <family val="2"/>
      <charset val="128"/>
      <scheme val="minor"/>
    </font>
    <font>
      <sz val="11"/>
      <color theme="0"/>
      <name val="DengXian"/>
      <family val="3"/>
      <charset val="128"/>
      <scheme val="minor"/>
    </font>
    <font>
      <sz val="11"/>
      <color theme="0"/>
      <name val="DengXian"/>
      <family val="3"/>
      <charset val="134"/>
      <scheme val="minor"/>
    </font>
    <font>
      <sz val="11"/>
      <name val="DengXian"/>
      <family val="3"/>
      <charset val="128"/>
      <scheme val="minor"/>
    </font>
    <font>
      <sz val="11"/>
      <name val="DengXian"/>
      <family val="3"/>
      <charset val="134"/>
      <scheme val="minor"/>
    </font>
    <font>
      <sz val="11"/>
      <name val="DengXian"/>
      <family val="2"/>
      <charset val="128"/>
      <scheme val="minor"/>
    </font>
    <font>
      <sz val="11"/>
      <color rgb="FF000000"/>
      <name val="ＭＳ Ｐゴシック"/>
      <family val="2"/>
      <charset val="128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9" borderId="5" xfId="0" applyFont="1" applyFill="1" applyBorder="1">
      <alignment vertical="center"/>
    </xf>
    <xf numFmtId="0" fontId="0" fillId="11" borderId="6" xfId="0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9" borderId="6" xfId="0" applyFont="1" applyFill="1" applyBorder="1">
      <alignment vertical="center"/>
    </xf>
    <xf numFmtId="0" fontId="2" fillId="9" borderId="6" xfId="0" applyFont="1" applyFill="1" applyBorder="1">
      <alignment vertical="center"/>
    </xf>
    <xf numFmtId="0" fontId="0" fillId="9" borderId="6" xfId="0" applyFill="1" applyBorder="1">
      <alignment vertical="center"/>
    </xf>
    <xf numFmtId="0" fontId="0" fillId="10" borderId="6" xfId="0" applyFill="1" applyBorder="1">
      <alignment vertical="center"/>
    </xf>
    <xf numFmtId="0" fontId="8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6" xfId="0" applyFill="1" applyBorder="1">
      <alignment vertical="center"/>
    </xf>
    <xf numFmtId="0" fontId="0" fillId="5" borderId="0" xfId="0" applyFill="1">
      <alignment vertical="center"/>
    </xf>
    <xf numFmtId="0" fontId="9" fillId="14" borderId="2" xfId="0" applyFont="1" applyFill="1" applyBorder="1">
      <alignment vertical="center"/>
    </xf>
    <xf numFmtId="0" fontId="10" fillId="14" borderId="2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13" fillId="4" borderId="2" xfId="0" applyFont="1" applyFill="1" applyBorder="1">
      <alignment vertical="center"/>
    </xf>
    <xf numFmtId="0" fontId="12" fillId="4" borderId="2" xfId="0" applyFont="1" applyFill="1" applyBorder="1">
      <alignment vertical="center"/>
    </xf>
    <xf numFmtId="0" fontId="11" fillId="15" borderId="2" xfId="0" applyFont="1" applyFill="1" applyBorder="1">
      <alignment vertical="center"/>
    </xf>
    <xf numFmtId="0" fontId="10" fillId="15" borderId="2" xfId="0" applyFont="1" applyFill="1" applyBorder="1">
      <alignment vertical="center"/>
    </xf>
    <xf numFmtId="0" fontId="14" fillId="2" borderId="0" xfId="0" applyFont="1" applyFill="1" applyAlignment="1">
      <alignment vertical="center"/>
    </xf>
    <xf numFmtId="0" fontId="12" fillId="0" borderId="0" xfId="0" applyFont="1">
      <alignment vertical="center"/>
    </xf>
    <xf numFmtId="0" fontId="0" fillId="0" borderId="0" xfId="0" applyFill="1">
      <alignment vertical="center"/>
    </xf>
    <xf numFmtId="0" fontId="2" fillId="0" borderId="6" xfId="0" applyFont="1" applyFill="1" applyBorder="1">
      <alignment vertical="center"/>
    </xf>
    <xf numFmtId="0" fontId="2" fillId="10" borderId="6" xfId="0" applyFont="1" applyFill="1" applyBorder="1">
      <alignment vertical="center"/>
    </xf>
    <xf numFmtId="0" fontId="0" fillId="10" borderId="6" xfId="0" applyFont="1" applyFill="1" applyBorder="1">
      <alignment vertical="center"/>
    </xf>
    <xf numFmtId="0" fontId="0" fillId="0" borderId="6" xfId="0" applyFill="1" applyBorder="1">
      <alignment vertical="center"/>
    </xf>
    <xf numFmtId="0" fontId="12" fillId="0" borderId="0" xfId="0" applyFont="1" applyFill="1">
      <alignment vertical="center"/>
    </xf>
    <xf numFmtId="0" fontId="13" fillId="8" borderId="2" xfId="0" applyFont="1" applyFill="1" applyBorder="1">
      <alignment vertical="center"/>
    </xf>
    <xf numFmtId="0" fontId="12" fillId="8" borderId="2" xfId="0" applyFont="1" applyFill="1" applyBorder="1">
      <alignment vertical="center"/>
    </xf>
    <xf numFmtId="0" fontId="13" fillId="5" borderId="2" xfId="0" applyFont="1" applyFill="1" applyBorder="1">
      <alignment vertical="center"/>
    </xf>
    <xf numFmtId="0" fontId="12" fillId="5" borderId="2" xfId="0" applyFont="1" applyFill="1" applyBorder="1">
      <alignment vertical="center"/>
    </xf>
    <xf numFmtId="0" fontId="10" fillId="16" borderId="2" xfId="0" applyFont="1" applyFill="1" applyBorder="1">
      <alignment vertical="center"/>
    </xf>
    <xf numFmtId="0" fontId="13" fillId="12" borderId="2" xfId="0" applyFont="1" applyFill="1" applyBorder="1">
      <alignment vertical="center"/>
    </xf>
    <xf numFmtId="0" fontId="12" fillId="12" borderId="2" xfId="0" applyFont="1" applyFill="1" applyBorder="1">
      <alignment vertical="center"/>
    </xf>
    <xf numFmtId="0" fontId="12" fillId="7" borderId="2" xfId="0" applyFont="1" applyFill="1" applyBorder="1">
      <alignment vertical="center"/>
    </xf>
    <xf numFmtId="0" fontId="0" fillId="11" borderId="5" xfId="0" applyFill="1" applyBorder="1">
      <alignment vertical="center"/>
    </xf>
    <xf numFmtId="0" fontId="2" fillId="0" borderId="3" xfId="0" applyFont="1" applyFill="1" applyBorder="1">
      <alignment vertical="center"/>
    </xf>
    <xf numFmtId="0" fontId="0" fillId="10" borderId="0" xfId="0" applyFill="1">
      <alignment vertical="center"/>
    </xf>
  </cellXfs>
  <cellStyles count="1">
    <cellStyle name="常规" xfId="0" builtinId="0"/>
  </cellStyles>
  <dxfs count="2"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622300</xdr:colOff>
          <xdr:row>3</xdr:row>
          <xdr:rowOff>25400</xdr:rowOff>
        </xdr:from>
        <xdr:to>
          <xdr:col>15</xdr:col>
          <xdr:colOff>139700</xdr:colOff>
          <xdr:row>7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4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4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4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4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4"/>
  <sheetViews>
    <sheetView tabSelected="1" topLeftCell="E1" zoomScale="150" zoomScaleNormal="85" workbookViewId="0">
      <selection activeCell="K7" sqref="K7"/>
    </sheetView>
  </sheetViews>
  <sheetFormatPr baseColWidth="10" defaultColWidth="8.83203125" defaultRowHeight="15" outlineLevelRow="1" x14ac:dyDescent="0.2"/>
  <cols>
    <col min="1" max="1" width="10.33203125" customWidth="1"/>
    <col min="2" max="2" width="9.83203125" customWidth="1"/>
    <col min="3" max="3" width="12.33203125" customWidth="1"/>
    <col min="4" max="5" width="9.83203125" customWidth="1"/>
    <col min="6" max="6" width="10.1640625" customWidth="1"/>
    <col min="7" max="8" width="9.83203125" customWidth="1"/>
    <col min="9" max="9" width="12.6640625" bestFit="1" customWidth="1"/>
  </cols>
  <sheetData>
    <row r="1" spans="1:10" ht="12.75" customHeight="1" x14ac:dyDescent="0.2">
      <c r="B1" s="24" t="s">
        <v>44</v>
      </c>
      <c r="C1" s="24" t="s">
        <v>48</v>
      </c>
      <c r="D1" s="24" t="s">
        <v>43</v>
      </c>
      <c r="E1" s="24" t="s">
        <v>63</v>
      </c>
      <c r="F1" s="24" t="s">
        <v>108</v>
      </c>
      <c r="G1" s="24" t="s">
        <v>109</v>
      </c>
      <c r="H1" s="24" t="s">
        <v>110</v>
      </c>
      <c r="I1" s="60" t="s">
        <v>210</v>
      </c>
    </row>
    <row r="2" spans="1:10" x14ac:dyDescent="0.2">
      <c r="A2" s="26" t="s">
        <v>41</v>
      </c>
      <c r="B2" s="50" t="s">
        <v>96</v>
      </c>
      <c r="C2" s="50" t="s">
        <v>97</v>
      </c>
      <c r="D2" s="47" t="s">
        <v>98</v>
      </c>
      <c r="E2" s="47" t="s">
        <v>99</v>
      </c>
      <c r="F2" s="50" t="s">
        <v>123</v>
      </c>
      <c r="G2" s="50" t="s">
        <v>124</v>
      </c>
      <c r="H2" s="50" t="s">
        <v>125</v>
      </c>
      <c r="I2" s="50" t="s">
        <v>97</v>
      </c>
      <c r="J2" s="26" t="s">
        <v>41</v>
      </c>
    </row>
    <row r="3" spans="1:10" x14ac:dyDescent="0.2">
      <c r="A3" s="26" t="s">
        <v>35</v>
      </c>
      <c r="B3" s="50" t="s">
        <v>100</v>
      </c>
      <c r="C3" s="47" t="s">
        <v>101</v>
      </c>
      <c r="D3" s="47" t="s">
        <v>102</v>
      </c>
      <c r="E3" s="50" t="s">
        <v>103</v>
      </c>
      <c r="F3" s="47" t="s">
        <v>122</v>
      </c>
      <c r="G3" s="47" t="s">
        <v>121</v>
      </c>
      <c r="H3" s="47" t="s">
        <v>120</v>
      </c>
      <c r="I3" s="47" t="s">
        <v>107</v>
      </c>
      <c r="J3" s="26" t="s">
        <v>35</v>
      </c>
    </row>
    <row r="4" spans="1:10" x14ac:dyDescent="0.2">
      <c r="A4" s="25" t="s">
        <v>42</v>
      </c>
      <c r="B4" s="50" t="s">
        <v>93</v>
      </c>
      <c r="C4" s="50" t="s">
        <v>104</v>
      </c>
      <c r="D4" s="50" t="s">
        <v>94</v>
      </c>
      <c r="E4" s="50" t="s">
        <v>95</v>
      </c>
      <c r="F4" s="50" t="s">
        <v>126</v>
      </c>
      <c r="G4" s="50" t="s">
        <v>128</v>
      </c>
      <c r="H4" s="50" t="s">
        <v>127</v>
      </c>
      <c r="I4" s="50" t="s">
        <v>127</v>
      </c>
      <c r="J4" s="25" t="s">
        <v>42</v>
      </c>
    </row>
    <row r="5" spans="1:10" x14ac:dyDescent="0.2">
      <c r="A5" s="25" t="s">
        <v>39</v>
      </c>
      <c r="B5" s="47" t="s">
        <v>76</v>
      </c>
      <c r="C5" s="47" t="s">
        <v>107</v>
      </c>
      <c r="D5" s="47" t="s">
        <v>91</v>
      </c>
      <c r="E5" s="50" t="s">
        <v>92</v>
      </c>
      <c r="F5" s="50" t="s">
        <v>111</v>
      </c>
      <c r="G5" s="50" t="s">
        <v>112</v>
      </c>
      <c r="H5" s="50" t="s">
        <v>113</v>
      </c>
      <c r="I5" s="62"/>
      <c r="J5" s="25" t="s">
        <v>39</v>
      </c>
    </row>
    <row r="6" spans="1:10" x14ac:dyDescent="0.2">
      <c r="A6" s="26" t="s">
        <v>38</v>
      </c>
      <c r="B6" s="50" t="s">
        <v>89</v>
      </c>
      <c r="C6" s="47" t="s">
        <v>84</v>
      </c>
      <c r="D6" s="50" t="s">
        <v>90</v>
      </c>
      <c r="E6" s="50" t="s">
        <v>75</v>
      </c>
      <c r="F6" s="50" t="s">
        <v>114</v>
      </c>
      <c r="G6" s="50" t="s">
        <v>115</v>
      </c>
      <c r="H6" s="50" t="s">
        <v>116</v>
      </c>
      <c r="I6" s="50" t="s">
        <v>89</v>
      </c>
      <c r="J6" s="26" t="s">
        <v>38</v>
      </c>
    </row>
    <row r="7" spans="1:10" x14ac:dyDescent="0.2">
      <c r="A7" s="25" t="s">
        <v>40</v>
      </c>
      <c r="B7" s="47" t="s">
        <v>85</v>
      </c>
      <c r="C7" s="47" t="s">
        <v>86</v>
      </c>
      <c r="D7" s="50" t="s">
        <v>87</v>
      </c>
      <c r="E7" s="50" t="s">
        <v>88</v>
      </c>
      <c r="F7" s="50" t="s">
        <v>118</v>
      </c>
      <c r="G7" s="50" t="s">
        <v>119</v>
      </c>
      <c r="H7" s="50" t="s">
        <v>117</v>
      </c>
      <c r="I7" s="47" t="s">
        <v>76</v>
      </c>
      <c r="J7" s="25" t="s">
        <v>40</v>
      </c>
    </row>
    <row r="8" spans="1:10" x14ac:dyDescent="0.2">
      <c r="A8" s="26" t="s">
        <v>77</v>
      </c>
      <c r="B8" s="50"/>
      <c r="C8" s="50"/>
      <c r="D8" s="50"/>
      <c r="E8" s="50"/>
      <c r="F8" s="50"/>
      <c r="G8" s="50"/>
      <c r="H8" s="50"/>
      <c r="I8" s="50" t="s">
        <v>123</v>
      </c>
      <c r="J8" s="26" t="s">
        <v>77</v>
      </c>
    </row>
    <row r="9" spans="1:10" x14ac:dyDescent="0.2">
      <c r="A9" s="26" t="s">
        <v>105</v>
      </c>
      <c r="B9" s="50"/>
      <c r="C9" s="50"/>
      <c r="D9" s="47"/>
      <c r="E9" s="50"/>
      <c r="F9" s="50"/>
      <c r="G9" s="50"/>
      <c r="H9" s="50"/>
      <c r="I9" s="47" t="s">
        <v>121</v>
      </c>
      <c r="J9" s="26" t="s">
        <v>78</v>
      </c>
    </row>
    <row r="10" spans="1:10" x14ac:dyDescent="0.2">
      <c r="A10" s="25" t="s">
        <v>79</v>
      </c>
      <c r="B10" s="50"/>
      <c r="C10" s="50"/>
      <c r="D10" s="50"/>
      <c r="E10" s="50"/>
      <c r="F10" s="50"/>
      <c r="G10" s="50"/>
      <c r="H10" s="50"/>
      <c r="I10" s="61" t="s">
        <v>211</v>
      </c>
      <c r="J10" s="25" t="s">
        <v>79</v>
      </c>
    </row>
    <row r="11" spans="1:10" x14ac:dyDescent="0.2">
      <c r="A11" s="25" t="s">
        <v>82</v>
      </c>
      <c r="B11" s="50"/>
      <c r="C11" s="47"/>
      <c r="D11" s="50"/>
      <c r="E11" s="50"/>
      <c r="F11" s="50"/>
      <c r="G11" s="50"/>
      <c r="H11" s="50"/>
      <c r="I11" s="62"/>
      <c r="J11" s="25" t="s">
        <v>82</v>
      </c>
    </row>
    <row r="12" spans="1:10" x14ac:dyDescent="0.2">
      <c r="A12" s="26" t="s">
        <v>106</v>
      </c>
      <c r="B12" s="47"/>
      <c r="C12" s="47"/>
      <c r="D12" s="50"/>
      <c r="E12" s="50"/>
      <c r="F12" s="47"/>
      <c r="G12" s="47"/>
      <c r="H12" s="47"/>
      <c r="I12" s="50" t="s">
        <v>92</v>
      </c>
      <c r="J12" s="26" t="s">
        <v>81</v>
      </c>
    </row>
    <row r="13" spans="1:10" x14ac:dyDescent="0.2">
      <c r="A13" s="25" t="s">
        <v>83</v>
      </c>
      <c r="B13" s="47"/>
      <c r="C13" s="47"/>
      <c r="D13" s="50"/>
      <c r="E13" s="50"/>
      <c r="F13" s="50"/>
      <c r="G13" s="50"/>
      <c r="H13" s="50"/>
      <c r="I13" t="s">
        <v>212</v>
      </c>
      <c r="J13" s="25" t="s">
        <v>83</v>
      </c>
    </row>
    <row r="17" spans="1:7" x14ac:dyDescent="0.2">
      <c r="B17">
        <f ca="1">SUM(B19:B24)</f>
        <v>0</v>
      </c>
      <c r="C17">
        <f t="shared" ref="C17:D17" ca="1" si="0">SUM(C19:C24)</f>
        <v>0</v>
      </c>
      <c r="D17">
        <f t="shared" ca="1" si="0"/>
        <v>0</v>
      </c>
      <c r="E17">
        <f t="shared" ref="E17:F17" ca="1" si="1">SUM(E19:E24)</f>
        <v>0</v>
      </c>
      <c r="F17">
        <f t="shared" ca="1" si="1"/>
        <v>0</v>
      </c>
      <c r="G17">
        <f ca="1">SUM(G19:G24)</f>
        <v>0</v>
      </c>
    </row>
    <row r="18" spans="1:7" x14ac:dyDescent="0.2">
      <c r="A18" s="36" t="str">
        <f ca="1">"残比"&amp;SUM(B19:G24)/2</f>
        <v>残比0</v>
      </c>
      <c r="B18" s="29" t="s">
        <v>41</v>
      </c>
      <c r="C18" s="29" t="s">
        <v>35</v>
      </c>
      <c r="D18" s="29" t="s">
        <v>42</v>
      </c>
      <c r="E18" s="29" t="s">
        <v>39</v>
      </c>
      <c r="F18" s="29" t="s">
        <v>38</v>
      </c>
      <c r="G18" s="29" t="s">
        <v>40</v>
      </c>
    </row>
    <row r="19" spans="1:7" x14ac:dyDescent="0.2">
      <c r="A19" s="27" t="s">
        <v>34</v>
      </c>
      <c r="B19" s="35"/>
      <c r="C19" s="25">
        <f ca="1">C28+C37+C46+C55+C64+C73+C82</f>
        <v>0</v>
      </c>
      <c r="D19" s="25">
        <f t="shared" ref="D19:D20" ca="1" si="2">D28+D37+D46+D55+D64+D73+D82</f>
        <v>0</v>
      </c>
      <c r="E19" s="25">
        <f t="shared" ref="E19:E21" ca="1" si="3">E28+E37+E46+E55+E64+E73+E82</f>
        <v>0</v>
      </c>
      <c r="F19" s="25">
        <f t="shared" ref="F19:F22" ca="1" si="4">F28+F37+F46+F55+F64+F73+F82</f>
        <v>0</v>
      </c>
      <c r="G19" s="25">
        <f t="shared" ref="G19:G23" ca="1" si="5">G28+G37+G46+G55+G64+G73+G82</f>
        <v>0</v>
      </c>
    </row>
    <row r="20" spans="1:7" x14ac:dyDescent="0.2">
      <c r="A20" s="28" t="s">
        <v>35</v>
      </c>
      <c r="B20" s="25">
        <f ca="1">B29+B38+B47+B56+B65+B74+B83</f>
        <v>0</v>
      </c>
      <c r="C20" s="35"/>
      <c r="D20" s="25">
        <f t="shared" ca="1" si="2"/>
        <v>0</v>
      </c>
      <c r="E20" s="25">
        <f t="shared" ca="1" si="3"/>
        <v>0</v>
      </c>
      <c r="F20" s="25">
        <f t="shared" ca="1" si="4"/>
        <v>0</v>
      </c>
      <c r="G20" s="25">
        <f t="shared" ca="1" si="5"/>
        <v>0</v>
      </c>
    </row>
    <row r="21" spans="1:7" x14ac:dyDescent="0.2">
      <c r="A21" s="29" t="s">
        <v>36</v>
      </c>
      <c r="B21" s="25">
        <f t="shared" ref="B21:C21" ca="1" si="6">B30+B39+B48+B57+B66+B75+B84</f>
        <v>0</v>
      </c>
      <c r="C21" s="25">
        <f t="shared" ca="1" si="6"/>
        <v>0</v>
      </c>
      <c r="D21" s="35"/>
      <c r="E21" s="25">
        <f t="shared" ca="1" si="3"/>
        <v>0</v>
      </c>
      <c r="F21" s="25">
        <f t="shared" ca="1" si="4"/>
        <v>0</v>
      </c>
      <c r="G21" s="25">
        <f t="shared" ca="1" si="5"/>
        <v>0</v>
      </c>
    </row>
    <row r="22" spans="1:7" x14ac:dyDescent="0.2">
      <c r="A22" s="27" t="s">
        <v>39</v>
      </c>
      <c r="B22" s="25">
        <f t="shared" ref="B22:D22" ca="1" si="7">B31+B40+B49+B58+B67+B76+B85</f>
        <v>0</v>
      </c>
      <c r="C22" s="25">
        <f t="shared" ca="1" si="7"/>
        <v>0</v>
      </c>
      <c r="D22" s="25">
        <f t="shared" ca="1" si="7"/>
        <v>0</v>
      </c>
      <c r="E22" s="35"/>
      <c r="F22" s="25">
        <f t="shared" ca="1" si="4"/>
        <v>0</v>
      </c>
      <c r="G22" s="25">
        <f t="shared" ca="1" si="5"/>
        <v>0</v>
      </c>
    </row>
    <row r="23" spans="1:7" x14ac:dyDescent="0.2">
      <c r="A23" s="28" t="s">
        <v>38</v>
      </c>
      <c r="B23" s="25">
        <f t="shared" ref="B23:E23" ca="1" si="8">B32+B41+B50+B59+B68+B77+B86</f>
        <v>0</v>
      </c>
      <c r="C23" s="25">
        <f t="shared" ca="1" si="8"/>
        <v>0</v>
      </c>
      <c r="D23" s="25">
        <f t="shared" ca="1" si="8"/>
        <v>0</v>
      </c>
      <c r="E23" s="25">
        <f t="shared" ca="1" si="8"/>
        <v>0</v>
      </c>
      <c r="F23" s="35"/>
      <c r="G23" s="25">
        <f t="shared" ca="1" si="5"/>
        <v>0</v>
      </c>
    </row>
    <row r="24" spans="1:7" x14ac:dyDescent="0.2">
      <c r="A24" s="27" t="s">
        <v>40</v>
      </c>
      <c r="B24" s="25">
        <f t="shared" ref="B24:E24" ca="1" si="9">B33+B42+B51+B60+B69+B78+B87</f>
        <v>0</v>
      </c>
      <c r="C24" s="25">
        <f t="shared" ca="1" si="9"/>
        <v>0</v>
      </c>
      <c r="D24" s="25">
        <f t="shared" ca="1" si="9"/>
        <v>0</v>
      </c>
      <c r="E24" s="25">
        <f t="shared" ca="1" si="9"/>
        <v>0</v>
      </c>
      <c r="F24" s="25">
        <f ca="1">F33+F42+F51+F60+F69+F78+F87</f>
        <v>0</v>
      </c>
      <c r="G24" s="35"/>
    </row>
    <row r="27" spans="1:7" outlineLevel="1" x14ac:dyDescent="0.2">
      <c r="A27" s="32" t="s">
        <v>44</v>
      </c>
      <c r="B27" s="29" t="s">
        <v>41</v>
      </c>
      <c r="C27" s="29" t="s">
        <v>35</v>
      </c>
      <c r="D27" s="29" t="s">
        <v>42</v>
      </c>
      <c r="E27" s="29" t="s">
        <v>39</v>
      </c>
      <c r="F27" s="29" t="s">
        <v>38</v>
      </c>
      <c r="G27" s="29" t="s">
        <v>40</v>
      </c>
    </row>
    <row r="28" spans="1:7" outlineLevel="1" x14ac:dyDescent="0.2">
      <c r="A28" s="27" t="s">
        <v>34</v>
      </c>
      <c r="B28" s="30"/>
      <c r="C28" s="25">
        <f ca="1">COUNTIF(INDIRECT($A$27&amp;"!$H:$H"),$A28&amp;C$27)+COUNTIF(INDIRECT($A$27&amp;"!$H:$H"),C$27&amp;$A28)</f>
        <v>0</v>
      </c>
      <c r="D28" s="25">
        <f t="shared" ref="D28:G32" ca="1" si="10">COUNTIF(INDIRECT($A$27&amp;"!$H:$H"),$A28&amp;D$27)+COUNTIF(INDIRECT($A$27&amp;"!$H:$H"),D$27&amp;$A28)</f>
        <v>0</v>
      </c>
      <c r="E28" s="25">
        <f t="shared" ca="1" si="10"/>
        <v>0</v>
      </c>
      <c r="F28" s="25">
        <f t="shared" ca="1" si="10"/>
        <v>0</v>
      </c>
      <c r="G28" s="25">
        <f t="shared" ca="1" si="10"/>
        <v>0</v>
      </c>
    </row>
    <row r="29" spans="1:7" outlineLevel="1" x14ac:dyDescent="0.2">
      <c r="A29" s="28" t="s">
        <v>35</v>
      </c>
      <c r="B29" s="25">
        <f ca="1">COUNTIF(INDIRECT($A$27&amp;"!$H:$H"),$A29&amp;B$27)+COUNTIF(INDIRECT($A$27&amp;"!$H:$H"),B$27&amp;$A29)</f>
        <v>0</v>
      </c>
      <c r="C29" s="30"/>
      <c r="D29" s="25">
        <f t="shared" ca="1" si="10"/>
        <v>0</v>
      </c>
      <c r="E29" s="25">
        <f t="shared" ca="1" si="10"/>
        <v>0</v>
      </c>
      <c r="F29" s="25">
        <f t="shared" ca="1" si="10"/>
        <v>0</v>
      </c>
      <c r="G29" s="25">
        <f t="shared" ca="1" si="10"/>
        <v>0</v>
      </c>
    </row>
    <row r="30" spans="1:7" outlineLevel="1" x14ac:dyDescent="0.2">
      <c r="A30" s="29" t="s">
        <v>36</v>
      </c>
      <c r="B30" s="25">
        <f t="shared" ref="B30:E33" ca="1" si="11">COUNTIF(INDIRECT($A$27&amp;"!$H:$H"),$A30&amp;B$27)+COUNTIF(INDIRECT($A$27&amp;"!$H:$H"),B$27&amp;$A30)</f>
        <v>0</v>
      </c>
      <c r="C30" s="25">
        <f t="shared" ca="1" si="11"/>
        <v>0</v>
      </c>
      <c r="D30" s="30"/>
      <c r="E30" s="25">
        <f t="shared" ca="1" si="10"/>
        <v>0</v>
      </c>
      <c r="F30" s="25">
        <f t="shared" ca="1" si="10"/>
        <v>0</v>
      </c>
      <c r="G30" s="25">
        <f t="shared" ca="1" si="10"/>
        <v>0</v>
      </c>
    </row>
    <row r="31" spans="1:7" outlineLevel="1" x14ac:dyDescent="0.2">
      <c r="A31" s="27" t="s">
        <v>39</v>
      </c>
      <c r="B31" s="25">
        <f t="shared" ca="1" si="11"/>
        <v>0</v>
      </c>
      <c r="C31" s="25">
        <f t="shared" ca="1" si="11"/>
        <v>0</v>
      </c>
      <c r="D31" s="25">
        <f t="shared" ca="1" si="11"/>
        <v>0</v>
      </c>
      <c r="E31" s="30"/>
      <c r="F31" s="25">
        <f t="shared" ca="1" si="10"/>
        <v>0</v>
      </c>
      <c r="G31" s="25">
        <f t="shared" ca="1" si="10"/>
        <v>0</v>
      </c>
    </row>
    <row r="32" spans="1:7" outlineLevel="1" x14ac:dyDescent="0.2">
      <c r="A32" s="28" t="s">
        <v>38</v>
      </c>
      <c r="B32" s="25">
        <f t="shared" ca="1" si="11"/>
        <v>0</v>
      </c>
      <c r="C32" s="25">
        <f t="shared" ca="1" si="11"/>
        <v>0</v>
      </c>
      <c r="D32" s="25">
        <f t="shared" ca="1" si="11"/>
        <v>0</v>
      </c>
      <c r="E32" s="25">
        <f t="shared" ca="1" si="11"/>
        <v>0</v>
      </c>
      <c r="F32" s="30"/>
      <c r="G32" s="25">
        <f t="shared" ca="1" si="10"/>
        <v>0</v>
      </c>
    </row>
    <row r="33" spans="1:7" outlineLevel="1" x14ac:dyDescent="0.2">
      <c r="A33" s="27" t="s">
        <v>40</v>
      </c>
      <c r="B33" s="25">
        <f t="shared" ca="1" si="11"/>
        <v>0</v>
      </c>
      <c r="C33" s="25">
        <f t="shared" ca="1" si="11"/>
        <v>0</v>
      </c>
      <c r="D33" s="25">
        <f t="shared" ca="1" si="11"/>
        <v>0</v>
      </c>
      <c r="E33" s="25">
        <f t="shared" ca="1" si="11"/>
        <v>0</v>
      </c>
      <c r="F33" s="25">
        <f ca="1">COUNTIF(INDIRECT($A$27&amp;"!$H:$H"),$A33&amp;F$27)+COUNTIF(INDIRECT($A$27&amp;"!$H:$H"),F$27&amp;$A33)</f>
        <v>0</v>
      </c>
      <c r="G33" s="30"/>
    </row>
    <row r="34" spans="1:7" outlineLevel="1" x14ac:dyDescent="0.2"/>
    <row r="35" spans="1:7" outlineLevel="1" x14ac:dyDescent="0.2"/>
    <row r="36" spans="1:7" outlineLevel="1" x14ac:dyDescent="0.2">
      <c r="A36" s="32" t="s">
        <v>48</v>
      </c>
      <c r="B36" s="29" t="s">
        <v>41</v>
      </c>
      <c r="C36" s="29" t="s">
        <v>35</v>
      </c>
      <c r="D36" s="29" t="s">
        <v>42</v>
      </c>
      <c r="E36" s="29" t="s">
        <v>39</v>
      </c>
      <c r="F36" s="29" t="s">
        <v>38</v>
      </c>
      <c r="G36" s="29" t="s">
        <v>40</v>
      </c>
    </row>
    <row r="37" spans="1:7" outlineLevel="1" x14ac:dyDescent="0.2">
      <c r="A37" s="27" t="s">
        <v>34</v>
      </c>
      <c r="B37" s="30"/>
      <c r="C37" s="25">
        <f ca="1">COUNTIF(INDIRECT($A$36&amp;"!$H:$H"),$A37&amp;C$36)+COUNTIF(INDIRECT($A$36&amp;"!$H:$H"),C$36&amp;$A37)</f>
        <v>0</v>
      </c>
      <c r="D37" s="25">
        <f t="shared" ref="D37:D38" ca="1" si="12">COUNTIF(INDIRECT($A$36&amp;"!$H:$H"),$A37&amp;D$36)+COUNTIF(INDIRECT($A$36&amp;"!$H:$H"),D$36&amp;$A37)</f>
        <v>0</v>
      </c>
      <c r="E37" s="25">
        <f t="shared" ref="E37:E39" ca="1" si="13">COUNTIF(INDIRECT($A$36&amp;"!$H:$H"),$A37&amp;E$36)+COUNTIF(INDIRECT($A$36&amp;"!$H:$H"),E$36&amp;$A37)</f>
        <v>0</v>
      </c>
      <c r="F37" s="25">
        <f t="shared" ref="F37:F40" ca="1" si="14">COUNTIF(INDIRECT($A$36&amp;"!$H:$H"),$A37&amp;F$36)+COUNTIF(INDIRECT($A$36&amp;"!$H:$H"),F$36&amp;$A37)</f>
        <v>0</v>
      </c>
      <c r="G37" s="25">
        <f t="shared" ref="G37:G41" ca="1" si="15">COUNTIF(INDIRECT($A$36&amp;"!$H:$H"),$A37&amp;G$36)+COUNTIF(INDIRECT($A$36&amp;"!$H:$H"),G$36&amp;$A37)</f>
        <v>0</v>
      </c>
    </row>
    <row r="38" spans="1:7" outlineLevel="1" x14ac:dyDescent="0.2">
      <c r="A38" s="28" t="s">
        <v>35</v>
      </c>
      <c r="B38" s="25">
        <f ca="1">COUNTIF(INDIRECT($A$36&amp;"!$H:$H"),$A38&amp;B$36)+COUNTIF(INDIRECT($A$36&amp;"!$H:$H"),B$36&amp;$A38)</f>
        <v>0</v>
      </c>
      <c r="C38" s="30"/>
      <c r="D38" s="25">
        <f t="shared" ca="1" si="12"/>
        <v>0</v>
      </c>
      <c r="E38" s="25">
        <f t="shared" ca="1" si="13"/>
        <v>0</v>
      </c>
      <c r="F38" s="25">
        <f t="shared" ca="1" si="14"/>
        <v>0</v>
      </c>
      <c r="G38" s="25">
        <f t="shared" ca="1" si="15"/>
        <v>0</v>
      </c>
    </row>
    <row r="39" spans="1:7" outlineLevel="1" x14ac:dyDescent="0.2">
      <c r="A39" s="29" t="s">
        <v>36</v>
      </c>
      <c r="B39" s="25">
        <f t="shared" ref="B39:E42" ca="1" si="16">COUNTIF(INDIRECT($A$36&amp;"!$H:$H"),$A39&amp;B$36)+COUNTIF(INDIRECT($A$36&amp;"!$H:$H"),B$36&amp;$A39)</f>
        <v>0</v>
      </c>
      <c r="C39" s="25">
        <f t="shared" ca="1" si="16"/>
        <v>0</v>
      </c>
      <c r="D39" s="30"/>
      <c r="E39" s="25">
        <f t="shared" ca="1" si="13"/>
        <v>0</v>
      </c>
      <c r="F39" s="25">
        <f t="shared" ca="1" si="14"/>
        <v>0</v>
      </c>
      <c r="G39" s="25">
        <f t="shared" ca="1" si="15"/>
        <v>0</v>
      </c>
    </row>
    <row r="40" spans="1:7" outlineLevel="1" x14ac:dyDescent="0.2">
      <c r="A40" s="27" t="s">
        <v>39</v>
      </c>
      <c r="B40" s="25">
        <f t="shared" ca="1" si="16"/>
        <v>0</v>
      </c>
      <c r="C40" s="25">
        <f t="shared" ca="1" si="16"/>
        <v>0</v>
      </c>
      <c r="D40" s="25">
        <f t="shared" ca="1" si="16"/>
        <v>0</v>
      </c>
      <c r="E40" s="30"/>
      <c r="F40" s="25">
        <f t="shared" ca="1" si="14"/>
        <v>0</v>
      </c>
      <c r="G40" s="25">
        <f t="shared" ca="1" si="15"/>
        <v>0</v>
      </c>
    </row>
    <row r="41" spans="1:7" outlineLevel="1" x14ac:dyDescent="0.2">
      <c r="A41" s="28" t="s">
        <v>38</v>
      </c>
      <c r="B41" s="25">
        <f t="shared" ca="1" si="16"/>
        <v>0</v>
      </c>
      <c r="C41" s="25">
        <f t="shared" ca="1" si="16"/>
        <v>0</v>
      </c>
      <c r="D41" s="25">
        <f t="shared" ca="1" si="16"/>
        <v>0</v>
      </c>
      <c r="E41" s="25">
        <f t="shared" ca="1" si="16"/>
        <v>0</v>
      </c>
      <c r="F41" s="30"/>
      <c r="G41" s="25">
        <f t="shared" ca="1" si="15"/>
        <v>0</v>
      </c>
    </row>
    <row r="42" spans="1:7" outlineLevel="1" x14ac:dyDescent="0.2">
      <c r="A42" s="27" t="s">
        <v>40</v>
      </c>
      <c r="B42" s="25">
        <f t="shared" ca="1" si="16"/>
        <v>0</v>
      </c>
      <c r="C42" s="25">
        <f t="shared" ca="1" si="16"/>
        <v>0</v>
      </c>
      <c r="D42" s="25">
        <f t="shared" ca="1" si="16"/>
        <v>0</v>
      </c>
      <c r="E42" s="25">
        <f t="shared" ca="1" si="16"/>
        <v>0</v>
      </c>
      <c r="F42" s="25">
        <f ca="1">COUNTIF(INDIRECT($A$36&amp;"!$H:$H"),$A42&amp;F$36)+COUNTIF(INDIRECT($A$36&amp;"!$H:$H"),F$36&amp;$A42)</f>
        <v>0</v>
      </c>
      <c r="G42" s="30"/>
    </row>
    <row r="43" spans="1:7" outlineLevel="1" x14ac:dyDescent="0.2"/>
    <row r="44" spans="1:7" outlineLevel="1" x14ac:dyDescent="0.2"/>
    <row r="45" spans="1:7" outlineLevel="1" x14ac:dyDescent="0.2">
      <c r="A45" s="32" t="s">
        <v>43</v>
      </c>
      <c r="B45" s="29" t="s">
        <v>41</v>
      </c>
      <c r="C45" s="29" t="s">
        <v>35</v>
      </c>
      <c r="D45" s="29" t="s">
        <v>42</v>
      </c>
      <c r="E45" s="29" t="s">
        <v>39</v>
      </c>
      <c r="F45" s="29" t="s">
        <v>38</v>
      </c>
      <c r="G45" s="29" t="s">
        <v>40</v>
      </c>
    </row>
    <row r="46" spans="1:7" outlineLevel="1" x14ac:dyDescent="0.2">
      <c r="A46" s="27" t="s">
        <v>34</v>
      </c>
      <c r="B46" s="30"/>
      <c r="C46" s="25">
        <f ca="1">COUNTIF(INDIRECT($A$45&amp;"!$H:$H"),$A46&amp;C$45)+COUNTIF(INDIRECT($A$45&amp;"!$H:$H"),C$45&amp;$A46)</f>
        <v>0</v>
      </c>
      <c r="D46" s="25">
        <f t="shared" ref="D46:D47" ca="1" si="17">COUNTIF(INDIRECT($A$45&amp;"!$H:$H"),$A46&amp;D$45)+COUNTIF(INDIRECT($A$45&amp;"!$H:$H"),D$45&amp;$A46)</f>
        <v>0</v>
      </c>
      <c r="E46" s="25">
        <f t="shared" ref="E46:E48" ca="1" si="18">COUNTIF(INDIRECT($A$45&amp;"!$H:$H"),$A46&amp;E$45)+COUNTIF(INDIRECT($A$45&amp;"!$H:$H"),E$45&amp;$A46)</f>
        <v>0</v>
      </c>
      <c r="F46" s="25">
        <f t="shared" ref="F46:G49" ca="1" si="19">COUNTIF(INDIRECT($A$45&amp;"!$H:$H"),$A46&amp;F$45)+COUNTIF(INDIRECT($A$45&amp;"!$H:$H"),F$45&amp;$A46)</f>
        <v>0</v>
      </c>
      <c r="G46" s="25">
        <f t="shared" ca="1" si="19"/>
        <v>0</v>
      </c>
    </row>
    <row r="47" spans="1:7" outlineLevel="1" x14ac:dyDescent="0.2">
      <c r="A47" s="28" t="s">
        <v>35</v>
      </c>
      <c r="B47" s="25">
        <f ca="1">COUNTIF(INDIRECT($A$45&amp;"!$H:$H"),$A47&amp;B$45)+COUNTIF(INDIRECT($A$45&amp;"!$H:$H"),B$45&amp;$A47)</f>
        <v>0</v>
      </c>
      <c r="C47" s="30"/>
      <c r="D47" s="25">
        <f t="shared" ca="1" si="17"/>
        <v>0</v>
      </c>
      <c r="E47" s="25">
        <f t="shared" ca="1" si="18"/>
        <v>0</v>
      </c>
      <c r="F47" s="25">
        <f t="shared" ca="1" si="19"/>
        <v>0</v>
      </c>
      <c r="G47" s="25">
        <f t="shared" ca="1" si="19"/>
        <v>0</v>
      </c>
    </row>
    <row r="48" spans="1:7" outlineLevel="1" x14ac:dyDescent="0.2">
      <c r="A48" s="29" t="s">
        <v>36</v>
      </c>
      <c r="B48" s="25">
        <f t="shared" ref="B48:E51" ca="1" si="20">COUNTIF(INDIRECT($A$45&amp;"!$H:$H"),$A48&amp;B$45)+COUNTIF(INDIRECT($A$45&amp;"!$H:$H"),B$45&amp;$A48)</f>
        <v>0</v>
      </c>
      <c r="C48" s="25">
        <f t="shared" ca="1" si="20"/>
        <v>0</v>
      </c>
      <c r="D48" s="30"/>
      <c r="E48" s="25">
        <f t="shared" ca="1" si="18"/>
        <v>0</v>
      </c>
      <c r="F48" s="25">
        <f t="shared" ca="1" si="19"/>
        <v>0</v>
      </c>
      <c r="G48" s="25">
        <f t="shared" ca="1" si="19"/>
        <v>0</v>
      </c>
    </row>
    <row r="49" spans="1:7" outlineLevel="1" x14ac:dyDescent="0.2">
      <c r="A49" s="27" t="s">
        <v>39</v>
      </c>
      <c r="B49" s="25">
        <f t="shared" ca="1" si="20"/>
        <v>0</v>
      </c>
      <c r="C49" s="25">
        <f t="shared" ca="1" si="20"/>
        <v>0</v>
      </c>
      <c r="D49" s="25">
        <f t="shared" ca="1" si="20"/>
        <v>0</v>
      </c>
      <c r="E49" s="30"/>
      <c r="F49" s="25">
        <f t="shared" ca="1" si="19"/>
        <v>0</v>
      </c>
      <c r="G49" s="25">
        <f t="shared" ca="1" si="19"/>
        <v>0</v>
      </c>
    </row>
    <row r="50" spans="1:7" outlineLevel="1" x14ac:dyDescent="0.2">
      <c r="A50" s="28" t="s">
        <v>38</v>
      </c>
      <c r="B50" s="25">
        <f t="shared" ca="1" si="20"/>
        <v>0</v>
      </c>
      <c r="C50" s="25">
        <f t="shared" ca="1" si="20"/>
        <v>0</v>
      </c>
      <c r="D50" s="25">
        <f t="shared" ca="1" si="20"/>
        <v>0</v>
      </c>
      <c r="E50" s="25">
        <f t="shared" ca="1" si="20"/>
        <v>0</v>
      </c>
      <c r="F50" s="30"/>
      <c r="G50" s="25">
        <f ca="1">COUNTIF(INDIRECT($A$45&amp;"!$H:$H"),$A50&amp;G$45)+COUNTIF(INDIRECT($A$45&amp;"!$H:$H"),G$45&amp;$A50)</f>
        <v>0</v>
      </c>
    </row>
    <row r="51" spans="1:7" outlineLevel="1" x14ac:dyDescent="0.2">
      <c r="A51" s="27" t="s">
        <v>40</v>
      </c>
      <c r="B51" s="25">
        <f t="shared" ca="1" si="20"/>
        <v>0</v>
      </c>
      <c r="C51" s="25">
        <f t="shared" ca="1" si="20"/>
        <v>0</v>
      </c>
      <c r="D51" s="25">
        <f t="shared" ca="1" si="20"/>
        <v>0</v>
      </c>
      <c r="E51" s="25">
        <f t="shared" ca="1" si="20"/>
        <v>0</v>
      </c>
      <c r="F51" s="25">
        <f ca="1">COUNTIF(INDIRECT($A$45&amp;"!$H:$H"),$A51&amp;F$45)+COUNTIF(INDIRECT($A$45&amp;"!$H:$H"),F$45&amp;$A51)</f>
        <v>0</v>
      </c>
      <c r="G51" s="30"/>
    </row>
    <row r="52" spans="1:7" outlineLevel="1" x14ac:dyDescent="0.2"/>
    <row r="53" spans="1:7" outlineLevel="1" x14ac:dyDescent="0.2"/>
    <row r="54" spans="1:7" outlineLevel="1" x14ac:dyDescent="0.2">
      <c r="A54" s="32" t="s">
        <v>63</v>
      </c>
      <c r="B54" s="29" t="s">
        <v>41</v>
      </c>
      <c r="C54" s="29" t="s">
        <v>35</v>
      </c>
      <c r="D54" s="29" t="s">
        <v>42</v>
      </c>
      <c r="E54" s="29" t="s">
        <v>39</v>
      </c>
      <c r="F54" s="29" t="s">
        <v>38</v>
      </c>
      <c r="G54" s="29" t="s">
        <v>40</v>
      </c>
    </row>
    <row r="55" spans="1:7" outlineLevel="1" x14ac:dyDescent="0.2">
      <c r="A55" s="27" t="s">
        <v>34</v>
      </c>
      <c r="B55" s="30"/>
      <c r="C55" s="25">
        <f ca="1">COUNTIF(INDIRECT($A$54&amp;"!$H:$H"),$A55&amp;C$54)+COUNTIF(INDIRECT($A$54&amp;"!$H:$H"),C$54&amp;$A55)</f>
        <v>0</v>
      </c>
      <c r="D55" s="25">
        <f t="shared" ref="D55:D56" ca="1" si="21">COUNTIF(INDIRECT($A$54&amp;"!$H:$H"),$A55&amp;D$54)+COUNTIF(INDIRECT($A$54&amp;"!$H:$H"),D$54&amp;$A55)</f>
        <v>0</v>
      </c>
      <c r="E55" s="25">
        <f t="shared" ref="E55:E57" ca="1" si="22">COUNTIF(INDIRECT($A$54&amp;"!$H:$H"),$A55&amp;E$54)+COUNTIF(INDIRECT($A$54&amp;"!$H:$H"),E$54&amp;$A55)</f>
        <v>0</v>
      </c>
      <c r="F55" s="25">
        <f t="shared" ref="F55:F58" ca="1" si="23">COUNTIF(INDIRECT($A$54&amp;"!$H:$H"),$A55&amp;F$54)+COUNTIF(INDIRECT($A$54&amp;"!$H:$H"),F$54&amp;$A55)</f>
        <v>0</v>
      </c>
      <c r="G55" s="25">
        <f t="shared" ref="G55:G59" ca="1" si="24">COUNTIF(INDIRECT($A$54&amp;"!$H:$H"),$A55&amp;G$54)+COUNTIF(INDIRECT($A$54&amp;"!$H:$H"),G$54&amp;$A55)</f>
        <v>0</v>
      </c>
    </row>
    <row r="56" spans="1:7" outlineLevel="1" x14ac:dyDescent="0.2">
      <c r="A56" s="28" t="s">
        <v>35</v>
      </c>
      <c r="B56" s="25">
        <f ca="1">COUNTIF(INDIRECT($A$54&amp;"!$H:$H"),$A56&amp;B$54)+COUNTIF(INDIRECT($A$54&amp;"!$H:$H"),B$54&amp;$A56)</f>
        <v>0</v>
      </c>
      <c r="C56" s="30"/>
      <c r="D56" s="25">
        <f t="shared" ca="1" si="21"/>
        <v>0</v>
      </c>
      <c r="E56" s="25">
        <f t="shared" ca="1" si="22"/>
        <v>0</v>
      </c>
      <c r="F56" s="25">
        <f t="shared" ca="1" si="23"/>
        <v>0</v>
      </c>
      <c r="G56" s="25">
        <f t="shared" ca="1" si="24"/>
        <v>0</v>
      </c>
    </row>
    <row r="57" spans="1:7" outlineLevel="1" x14ac:dyDescent="0.2">
      <c r="A57" s="29" t="s">
        <v>36</v>
      </c>
      <c r="B57" s="25">
        <f t="shared" ref="B57:E60" ca="1" si="25">COUNTIF(INDIRECT($A$54&amp;"!$H:$H"),$A57&amp;B$54)+COUNTIF(INDIRECT($A$54&amp;"!$H:$H"),B$54&amp;$A57)</f>
        <v>0</v>
      </c>
      <c r="C57" s="25">
        <f t="shared" ca="1" si="25"/>
        <v>0</v>
      </c>
      <c r="D57" s="30"/>
      <c r="E57" s="25">
        <f t="shared" ca="1" si="22"/>
        <v>0</v>
      </c>
      <c r="F57" s="25">
        <f t="shared" ca="1" si="23"/>
        <v>0</v>
      </c>
      <c r="G57" s="25">
        <f t="shared" ca="1" si="24"/>
        <v>0</v>
      </c>
    </row>
    <row r="58" spans="1:7" outlineLevel="1" x14ac:dyDescent="0.2">
      <c r="A58" s="27" t="s">
        <v>39</v>
      </c>
      <c r="B58" s="25">
        <f t="shared" ca="1" si="25"/>
        <v>0</v>
      </c>
      <c r="C58" s="25">
        <f t="shared" ca="1" si="25"/>
        <v>0</v>
      </c>
      <c r="D58" s="25">
        <f t="shared" ca="1" si="25"/>
        <v>0</v>
      </c>
      <c r="E58" s="30"/>
      <c r="F58" s="25">
        <f t="shared" ca="1" si="23"/>
        <v>0</v>
      </c>
      <c r="G58" s="25">
        <f t="shared" ca="1" si="24"/>
        <v>0</v>
      </c>
    </row>
    <row r="59" spans="1:7" outlineLevel="1" x14ac:dyDescent="0.2">
      <c r="A59" s="28" t="s">
        <v>38</v>
      </c>
      <c r="B59" s="25">
        <f t="shared" ca="1" si="25"/>
        <v>0</v>
      </c>
      <c r="C59" s="25">
        <f t="shared" ca="1" si="25"/>
        <v>0</v>
      </c>
      <c r="D59" s="25">
        <f t="shared" ca="1" si="25"/>
        <v>0</v>
      </c>
      <c r="E59" s="25">
        <f t="shared" ca="1" si="25"/>
        <v>0</v>
      </c>
      <c r="F59" s="30"/>
      <c r="G59" s="25">
        <f t="shared" ca="1" si="24"/>
        <v>0</v>
      </c>
    </row>
    <row r="60" spans="1:7" outlineLevel="1" x14ac:dyDescent="0.2">
      <c r="A60" s="27" t="s">
        <v>40</v>
      </c>
      <c r="B60" s="25">
        <f t="shared" ca="1" si="25"/>
        <v>0</v>
      </c>
      <c r="C60" s="25">
        <f t="shared" ca="1" si="25"/>
        <v>0</v>
      </c>
      <c r="D60" s="25">
        <f t="shared" ca="1" si="25"/>
        <v>0</v>
      </c>
      <c r="E60" s="25">
        <f t="shared" ca="1" si="25"/>
        <v>0</v>
      </c>
      <c r="F60" s="25">
        <f ca="1">COUNTIF(INDIRECT($A$54&amp;"!$H:$H"),$A60&amp;F$54)+COUNTIF(INDIRECT($A$54&amp;"!$H:$H"),F$54&amp;$A60)</f>
        <v>0</v>
      </c>
      <c r="G60" s="30"/>
    </row>
    <row r="62" spans="1:7" outlineLevel="1" x14ac:dyDescent="0.2"/>
    <row r="63" spans="1:7" outlineLevel="1" x14ac:dyDescent="0.2">
      <c r="A63" s="32" t="s">
        <v>108</v>
      </c>
      <c r="B63" s="29" t="s">
        <v>41</v>
      </c>
      <c r="C63" s="29" t="s">
        <v>35</v>
      </c>
      <c r="D63" s="29" t="s">
        <v>42</v>
      </c>
      <c r="E63" s="29" t="s">
        <v>39</v>
      </c>
      <c r="F63" s="29" t="s">
        <v>38</v>
      </c>
      <c r="G63" s="29" t="s">
        <v>40</v>
      </c>
    </row>
    <row r="64" spans="1:7" outlineLevel="1" x14ac:dyDescent="0.2">
      <c r="A64" s="27" t="s">
        <v>34</v>
      </c>
      <c r="B64" s="30"/>
      <c r="C64" s="25">
        <f ca="1">COUNTIF(INDIRECT($A$63&amp;"!$H:$H"),$A64&amp;C$63)+COUNTIF(INDIRECT($A$63&amp;"!$H:$H"),C$63&amp;$A64)</f>
        <v>0</v>
      </c>
      <c r="D64" s="25">
        <f t="shared" ref="D64:D65" ca="1" si="26">COUNTIF(INDIRECT($A$63&amp;"!$H:$H"),$A64&amp;D$63)+COUNTIF(INDIRECT($A$63&amp;"!$H:$H"),D$63&amp;$A64)</f>
        <v>0</v>
      </c>
      <c r="E64" s="25">
        <f t="shared" ref="E64:E66" ca="1" si="27">COUNTIF(INDIRECT($A$63&amp;"!$H:$H"),$A64&amp;E$63)+COUNTIF(INDIRECT($A$63&amp;"!$H:$H"),E$63&amp;$A64)</f>
        <v>0</v>
      </c>
      <c r="F64" s="25">
        <f t="shared" ref="F64:F67" ca="1" si="28">COUNTIF(INDIRECT($A$63&amp;"!$H:$H"),$A64&amp;F$63)+COUNTIF(INDIRECT($A$63&amp;"!$H:$H"),F$63&amp;$A64)</f>
        <v>0</v>
      </c>
      <c r="G64" s="25">
        <f t="shared" ref="G64:G68" ca="1" si="29">COUNTIF(INDIRECT($A$63&amp;"!$H:$H"),$A64&amp;G$63)+COUNTIF(INDIRECT($A$63&amp;"!$H:$H"),G$63&amp;$A64)</f>
        <v>0</v>
      </c>
    </row>
    <row r="65" spans="1:7" outlineLevel="1" x14ac:dyDescent="0.2">
      <c r="A65" s="28" t="s">
        <v>35</v>
      </c>
      <c r="B65" s="25">
        <f ca="1">COUNTIF(INDIRECT($A$63&amp;"!$H:$H"),$A65&amp;B$63)+COUNTIF(INDIRECT($A$63&amp;"!$H:$H"),B$63&amp;$A65)</f>
        <v>0</v>
      </c>
      <c r="C65" s="30"/>
      <c r="D65" s="25">
        <f t="shared" ca="1" si="26"/>
        <v>0</v>
      </c>
      <c r="E65" s="25">
        <f t="shared" ca="1" si="27"/>
        <v>0</v>
      </c>
      <c r="F65" s="25">
        <f t="shared" ca="1" si="28"/>
        <v>0</v>
      </c>
      <c r="G65" s="25">
        <f t="shared" ca="1" si="29"/>
        <v>0</v>
      </c>
    </row>
    <row r="66" spans="1:7" outlineLevel="1" x14ac:dyDescent="0.2">
      <c r="A66" s="29" t="s">
        <v>36</v>
      </c>
      <c r="B66" s="25">
        <f t="shared" ref="B66:E69" ca="1" si="30">COUNTIF(INDIRECT($A$63&amp;"!$H:$H"),$A66&amp;B$63)+COUNTIF(INDIRECT($A$63&amp;"!$H:$H"),B$63&amp;$A66)</f>
        <v>0</v>
      </c>
      <c r="C66" s="25">
        <f t="shared" ca="1" si="30"/>
        <v>0</v>
      </c>
      <c r="D66" s="30"/>
      <c r="E66" s="25">
        <f t="shared" ca="1" si="27"/>
        <v>0</v>
      </c>
      <c r="F66" s="25">
        <f t="shared" ca="1" si="28"/>
        <v>0</v>
      </c>
      <c r="G66" s="25">
        <f t="shared" ca="1" si="29"/>
        <v>0</v>
      </c>
    </row>
    <row r="67" spans="1:7" outlineLevel="1" x14ac:dyDescent="0.2">
      <c r="A67" s="27" t="s">
        <v>39</v>
      </c>
      <c r="B67" s="25">
        <f t="shared" ca="1" si="30"/>
        <v>0</v>
      </c>
      <c r="C67" s="25">
        <f t="shared" ca="1" si="30"/>
        <v>0</v>
      </c>
      <c r="D67" s="25">
        <f t="shared" ca="1" si="30"/>
        <v>0</v>
      </c>
      <c r="E67" s="30"/>
      <c r="F67" s="25">
        <f t="shared" ca="1" si="28"/>
        <v>0</v>
      </c>
      <c r="G67" s="25">
        <f t="shared" ca="1" si="29"/>
        <v>0</v>
      </c>
    </row>
    <row r="68" spans="1:7" outlineLevel="1" x14ac:dyDescent="0.2">
      <c r="A68" s="28" t="s">
        <v>38</v>
      </c>
      <c r="B68" s="25">
        <f t="shared" ca="1" si="30"/>
        <v>0</v>
      </c>
      <c r="C68" s="25">
        <f t="shared" ca="1" si="30"/>
        <v>0</v>
      </c>
      <c r="D68" s="25">
        <f t="shared" ca="1" si="30"/>
        <v>0</v>
      </c>
      <c r="E68" s="25">
        <f t="shared" ca="1" si="30"/>
        <v>0</v>
      </c>
      <c r="F68" s="30"/>
      <c r="G68" s="25">
        <f t="shared" ca="1" si="29"/>
        <v>0</v>
      </c>
    </row>
    <row r="69" spans="1:7" outlineLevel="1" x14ac:dyDescent="0.2">
      <c r="A69" s="27" t="s">
        <v>40</v>
      </c>
      <c r="B69" s="25">
        <f t="shared" ca="1" si="30"/>
        <v>0</v>
      </c>
      <c r="C69" s="25">
        <f t="shared" ca="1" si="30"/>
        <v>0</v>
      </c>
      <c r="D69" s="25">
        <f t="shared" ca="1" si="30"/>
        <v>0</v>
      </c>
      <c r="E69" s="25">
        <f t="shared" ca="1" si="30"/>
        <v>0</v>
      </c>
      <c r="F69" s="25">
        <f ca="1">COUNTIF(INDIRECT($A$63&amp;"!$H:$H"),$A69&amp;F$63)+COUNTIF(INDIRECT($A$63&amp;"!$H:$H"),F$63&amp;$A69)</f>
        <v>0</v>
      </c>
      <c r="G69" s="30"/>
    </row>
    <row r="71" spans="1:7" outlineLevel="1" x14ac:dyDescent="0.2"/>
    <row r="72" spans="1:7" outlineLevel="1" x14ac:dyDescent="0.2">
      <c r="A72" s="32" t="s">
        <v>109</v>
      </c>
      <c r="B72" s="29" t="s">
        <v>41</v>
      </c>
      <c r="C72" s="29" t="s">
        <v>35</v>
      </c>
      <c r="D72" s="29" t="s">
        <v>42</v>
      </c>
      <c r="E72" s="29" t="s">
        <v>39</v>
      </c>
      <c r="F72" s="29" t="s">
        <v>38</v>
      </c>
      <c r="G72" s="29" t="s">
        <v>40</v>
      </c>
    </row>
    <row r="73" spans="1:7" outlineLevel="1" x14ac:dyDescent="0.2">
      <c r="A73" s="27" t="s">
        <v>34</v>
      </c>
      <c r="B73" s="30"/>
      <c r="C73" s="25">
        <f ca="1">COUNTIF(INDIRECT($A$72&amp;"!$H:$H"),$A73&amp;C$72)+COUNTIF(INDIRECT($A$72&amp;"!$H:$H"),C$72&amp;$A73)</f>
        <v>0</v>
      </c>
      <c r="D73" s="25">
        <f t="shared" ref="D73:D74" ca="1" si="31">COUNTIF(INDIRECT($A$72&amp;"!$H:$H"),$A73&amp;D$72)+COUNTIF(INDIRECT($A$72&amp;"!$H:$H"),D$72&amp;$A73)</f>
        <v>0</v>
      </c>
      <c r="E73" s="25">
        <f t="shared" ref="E73:E75" ca="1" si="32">COUNTIF(INDIRECT($A$72&amp;"!$H:$H"),$A73&amp;E$72)+COUNTIF(INDIRECT($A$72&amp;"!$H:$H"),E$72&amp;$A73)</f>
        <v>0</v>
      </c>
      <c r="F73" s="25">
        <f t="shared" ref="F73:F76" ca="1" si="33">COUNTIF(INDIRECT($A$72&amp;"!$H:$H"),$A73&amp;F$72)+COUNTIF(INDIRECT($A$72&amp;"!$H:$H"),F$72&amp;$A73)</f>
        <v>0</v>
      </c>
      <c r="G73" s="25">
        <f t="shared" ref="G73:G77" ca="1" si="34">COUNTIF(INDIRECT($A$72&amp;"!$H:$H"),$A73&amp;G$72)+COUNTIF(INDIRECT($A$72&amp;"!$H:$H"),G$72&amp;$A73)</f>
        <v>0</v>
      </c>
    </row>
    <row r="74" spans="1:7" outlineLevel="1" x14ac:dyDescent="0.2">
      <c r="A74" s="28" t="s">
        <v>35</v>
      </c>
      <c r="B74" s="25">
        <f ca="1">COUNTIF(INDIRECT($A$72&amp;"!$H:$H"),$A74&amp;B$72)+COUNTIF(INDIRECT($A$72&amp;"!$H:$H"),B$72&amp;$A74)</f>
        <v>0</v>
      </c>
      <c r="C74" s="30"/>
      <c r="D74" s="25">
        <f t="shared" ca="1" si="31"/>
        <v>0</v>
      </c>
      <c r="E74" s="25">
        <f t="shared" ca="1" si="32"/>
        <v>0</v>
      </c>
      <c r="F74" s="25">
        <f t="shared" ca="1" si="33"/>
        <v>0</v>
      </c>
      <c r="G74" s="25">
        <f t="shared" ca="1" si="34"/>
        <v>0</v>
      </c>
    </row>
    <row r="75" spans="1:7" outlineLevel="1" x14ac:dyDescent="0.2">
      <c r="A75" s="29" t="s">
        <v>36</v>
      </c>
      <c r="B75" s="25">
        <f t="shared" ref="B75:E78" ca="1" si="35">COUNTIF(INDIRECT($A$72&amp;"!$H:$H"),$A75&amp;B$72)+COUNTIF(INDIRECT($A$72&amp;"!$H:$H"),B$72&amp;$A75)</f>
        <v>0</v>
      </c>
      <c r="C75" s="25">
        <f t="shared" ca="1" si="35"/>
        <v>0</v>
      </c>
      <c r="D75" s="30"/>
      <c r="E75" s="25">
        <f t="shared" ca="1" si="32"/>
        <v>0</v>
      </c>
      <c r="F75" s="25">
        <f t="shared" ca="1" si="33"/>
        <v>0</v>
      </c>
      <c r="G75" s="25">
        <f t="shared" ca="1" si="34"/>
        <v>0</v>
      </c>
    </row>
    <row r="76" spans="1:7" outlineLevel="1" x14ac:dyDescent="0.2">
      <c r="A76" s="27" t="s">
        <v>39</v>
      </c>
      <c r="B76" s="25">
        <f t="shared" ca="1" si="35"/>
        <v>0</v>
      </c>
      <c r="C76" s="25">
        <f t="shared" ca="1" si="35"/>
        <v>0</v>
      </c>
      <c r="D76" s="25">
        <f t="shared" ca="1" si="35"/>
        <v>0</v>
      </c>
      <c r="E76" s="30"/>
      <c r="F76" s="25">
        <f t="shared" ca="1" si="33"/>
        <v>0</v>
      </c>
      <c r="G76" s="25">
        <f t="shared" ca="1" si="34"/>
        <v>0</v>
      </c>
    </row>
    <row r="77" spans="1:7" outlineLevel="1" x14ac:dyDescent="0.2">
      <c r="A77" s="28" t="s">
        <v>38</v>
      </c>
      <c r="B77" s="25">
        <f t="shared" ca="1" si="35"/>
        <v>0</v>
      </c>
      <c r="C77" s="25">
        <f t="shared" ca="1" si="35"/>
        <v>0</v>
      </c>
      <c r="D77" s="25">
        <f t="shared" ca="1" si="35"/>
        <v>0</v>
      </c>
      <c r="E77" s="25">
        <f t="shared" ca="1" si="35"/>
        <v>0</v>
      </c>
      <c r="F77" s="30"/>
      <c r="G77" s="25">
        <f t="shared" ca="1" si="34"/>
        <v>0</v>
      </c>
    </row>
    <row r="78" spans="1:7" outlineLevel="1" x14ac:dyDescent="0.2">
      <c r="A78" s="27" t="s">
        <v>40</v>
      </c>
      <c r="B78" s="25">
        <f t="shared" ca="1" si="35"/>
        <v>0</v>
      </c>
      <c r="C78" s="25">
        <f t="shared" ca="1" si="35"/>
        <v>0</v>
      </c>
      <c r="D78" s="25">
        <f t="shared" ca="1" si="35"/>
        <v>0</v>
      </c>
      <c r="E78" s="25">
        <f t="shared" ca="1" si="35"/>
        <v>0</v>
      </c>
      <c r="F78" s="25">
        <f ca="1">COUNTIF(INDIRECT($A$72&amp;"!$H:$H"),$A78&amp;F$72)+COUNTIF(INDIRECT($A$72&amp;"!$H:$H"),F$72&amp;$A78)</f>
        <v>0</v>
      </c>
      <c r="G78" s="30"/>
    </row>
    <row r="80" spans="1:7" outlineLevel="1" x14ac:dyDescent="0.2"/>
    <row r="81" spans="1:15" outlineLevel="1" x14ac:dyDescent="0.2">
      <c r="A81" s="32" t="s">
        <v>110</v>
      </c>
      <c r="B81" s="29" t="s">
        <v>41</v>
      </c>
      <c r="C81" s="29" t="s">
        <v>35</v>
      </c>
      <c r="D81" s="29" t="s">
        <v>42</v>
      </c>
      <c r="E81" s="29" t="s">
        <v>39</v>
      </c>
      <c r="F81" s="29" t="s">
        <v>38</v>
      </c>
      <c r="G81" s="29" t="s">
        <v>40</v>
      </c>
    </row>
    <row r="82" spans="1:15" outlineLevel="1" x14ac:dyDescent="0.2">
      <c r="A82" s="27" t="s">
        <v>34</v>
      </c>
      <c r="B82" s="30"/>
      <c r="C82" s="25">
        <f ca="1">COUNTIF(INDIRECT($A$81&amp;"!$H:$H"),$A82&amp;C$81)+COUNTIF(INDIRECT($A$81&amp;"!$H:$H"),C$81&amp;$A82)</f>
        <v>0</v>
      </c>
      <c r="D82" s="25">
        <f t="shared" ref="D82:D83" ca="1" si="36">COUNTIF(INDIRECT($A$81&amp;"!$H:$H"),$A82&amp;D$81)+COUNTIF(INDIRECT($A$81&amp;"!$H:$H"),D$81&amp;$A82)</f>
        <v>0</v>
      </c>
      <c r="E82" s="25">
        <f t="shared" ref="E82:E84" ca="1" si="37">COUNTIF(INDIRECT($A$81&amp;"!$H:$H"),$A82&amp;E$81)+COUNTIF(INDIRECT($A$81&amp;"!$H:$H"),E$81&amp;$A82)</f>
        <v>0</v>
      </c>
      <c r="F82" s="25">
        <f t="shared" ref="F82:F85" ca="1" si="38">COUNTIF(INDIRECT($A$81&amp;"!$H:$H"),$A82&amp;F$81)+COUNTIF(INDIRECT($A$81&amp;"!$H:$H"),F$81&amp;$A82)</f>
        <v>0</v>
      </c>
      <c r="G82" s="25">
        <f t="shared" ref="G82:G86" ca="1" si="39">COUNTIF(INDIRECT($A$81&amp;"!$H:$H"),$A82&amp;G$81)+COUNTIF(INDIRECT($A$81&amp;"!$H:$H"),G$81&amp;$A82)</f>
        <v>0</v>
      </c>
    </row>
    <row r="83" spans="1:15" outlineLevel="1" x14ac:dyDescent="0.2">
      <c r="A83" s="28" t="s">
        <v>35</v>
      </c>
      <c r="B83" s="25">
        <f ca="1">COUNTIF(INDIRECT($A$81&amp;"!$H:$H"),$A83&amp;B$81)+COUNTIF(INDIRECT($A$81&amp;"!$H:$H"),B$81&amp;$A83)</f>
        <v>0</v>
      </c>
      <c r="C83" s="30"/>
      <c r="D83" s="25">
        <f t="shared" ca="1" si="36"/>
        <v>0</v>
      </c>
      <c r="E83" s="25">
        <f t="shared" ca="1" si="37"/>
        <v>0</v>
      </c>
      <c r="F83" s="25">
        <f t="shared" ca="1" si="38"/>
        <v>0</v>
      </c>
      <c r="G83" s="25">
        <f t="shared" ca="1" si="39"/>
        <v>0</v>
      </c>
    </row>
    <row r="84" spans="1:15" outlineLevel="1" x14ac:dyDescent="0.2">
      <c r="A84" s="29" t="s">
        <v>36</v>
      </c>
      <c r="B84" s="25">
        <f t="shared" ref="B84:E87" ca="1" si="40">COUNTIF(INDIRECT($A$81&amp;"!$H:$H"),$A84&amp;B$81)+COUNTIF(INDIRECT($A$81&amp;"!$H:$H"),B$81&amp;$A84)</f>
        <v>0</v>
      </c>
      <c r="C84" s="25">
        <f t="shared" ca="1" si="40"/>
        <v>0</v>
      </c>
      <c r="D84" s="30"/>
      <c r="E84" s="25">
        <f t="shared" ca="1" si="37"/>
        <v>0</v>
      </c>
      <c r="F84" s="25">
        <f t="shared" ca="1" si="38"/>
        <v>0</v>
      </c>
      <c r="G84" s="25">
        <f t="shared" ca="1" si="39"/>
        <v>0</v>
      </c>
    </row>
    <row r="85" spans="1:15" outlineLevel="1" x14ac:dyDescent="0.2">
      <c r="A85" s="27" t="s">
        <v>39</v>
      </c>
      <c r="B85" s="25">
        <f t="shared" ca="1" si="40"/>
        <v>0</v>
      </c>
      <c r="C85" s="25">
        <f t="shared" ca="1" si="40"/>
        <v>0</v>
      </c>
      <c r="D85" s="25">
        <f t="shared" ca="1" si="40"/>
        <v>0</v>
      </c>
      <c r="E85" s="30"/>
      <c r="F85" s="25">
        <f t="shared" ca="1" si="38"/>
        <v>0</v>
      </c>
      <c r="G85" s="25">
        <f t="shared" ca="1" si="39"/>
        <v>0</v>
      </c>
    </row>
    <row r="86" spans="1:15" outlineLevel="1" x14ac:dyDescent="0.2">
      <c r="A86" s="28" t="s">
        <v>38</v>
      </c>
      <c r="B86" s="25">
        <f t="shared" ca="1" si="40"/>
        <v>0</v>
      </c>
      <c r="C86" s="25">
        <f t="shared" ca="1" si="40"/>
        <v>0</v>
      </c>
      <c r="D86" s="25">
        <f t="shared" ca="1" si="40"/>
        <v>0</v>
      </c>
      <c r="E86" s="25">
        <f t="shared" ca="1" si="40"/>
        <v>0</v>
      </c>
      <c r="F86" s="30"/>
      <c r="G86" s="25">
        <f t="shared" ca="1" si="39"/>
        <v>0</v>
      </c>
    </row>
    <row r="87" spans="1:15" outlineLevel="1" x14ac:dyDescent="0.2">
      <c r="A87" s="27" t="s">
        <v>40</v>
      </c>
      <c r="B87" s="25">
        <f t="shared" ca="1" si="40"/>
        <v>0</v>
      </c>
      <c r="C87" s="25">
        <f t="shared" ca="1" si="40"/>
        <v>0</v>
      </c>
      <c r="D87" s="25">
        <f t="shared" ca="1" si="40"/>
        <v>0</v>
      </c>
      <c r="E87" s="25">
        <f t="shared" ca="1" si="40"/>
        <v>0</v>
      </c>
      <c r="F87" s="25">
        <f ca="1">COUNTIF(INDIRECT($A$81&amp;"!$H:$H"),$A87&amp;F$81)+COUNTIF(INDIRECT($A$81&amp;"!$H:$H"),F$81&amp;$A87)</f>
        <v>0</v>
      </c>
      <c r="G87" s="30"/>
    </row>
    <row r="89" spans="1:15" outlineLevel="1" x14ac:dyDescent="0.2"/>
    <row r="90" spans="1:15" outlineLevel="1" x14ac:dyDescent="0.2">
      <c r="A90" s="32" t="s">
        <v>72</v>
      </c>
      <c r="B90" s="49" t="s">
        <v>34</v>
      </c>
      <c r="C90" s="48" t="s">
        <v>35</v>
      </c>
      <c r="D90" s="30" t="s">
        <v>36</v>
      </c>
      <c r="E90" s="49" t="s">
        <v>37</v>
      </c>
      <c r="F90" s="48" t="s">
        <v>38</v>
      </c>
      <c r="G90" s="49" t="s">
        <v>39</v>
      </c>
      <c r="H90" s="49" t="s">
        <v>40</v>
      </c>
      <c r="I90" s="48" t="s">
        <v>77</v>
      </c>
      <c r="J90" s="48" t="s">
        <v>78</v>
      </c>
      <c r="K90" s="30" t="s">
        <v>79</v>
      </c>
      <c r="L90" s="48" t="s">
        <v>80</v>
      </c>
      <c r="M90" s="48" t="s">
        <v>81</v>
      </c>
      <c r="N90" s="30" t="s">
        <v>82</v>
      </c>
      <c r="O90" s="30" t="s">
        <v>83</v>
      </c>
    </row>
    <row r="91" spans="1:15" outlineLevel="1" x14ac:dyDescent="0.2">
      <c r="A91" s="49" t="s">
        <v>34</v>
      </c>
      <c r="B91" s="30"/>
      <c r="C91" s="25">
        <f ca="1">COUNTIF(INDIRECT($A$90&amp;"!$H:$H"),$A91&amp;C$90)+COUNTIF(INDIRECT($A$90&amp;"!$H:$H"),C$90&amp;$A91)</f>
        <v>1</v>
      </c>
      <c r="D91" s="25">
        <f t="shared" ref="C91:O104" ca="1" si="41">COUNTIF(INDIRECT($A$90&amp;"!$H:$H"),$A91&amp;D$90)+COUNTIF(INDIRECT($A$90&amp;"!$H:$H"),D$90&amp;$A91)</f>
        <v>2</v>
      </c>
      <c r="E91" s="30"/>
      <c r="F91" s="25">
        <f t="shared" ca="1" si="41"/>
        <v>2</v>
      </c>
      <c r="G91" s="25">
        <f t="shared" ca="1" si="41"/>
        <v>0</v>
      </c>
      <c r="H91" s="25">
        <f t="shared" ca="1" si="41"/>
        <v>1</v>
      </c>
      <c r="I91" s="30"/>
      <c r="J91" s="25">
        <f t="shared" ca="1" si="41"/>
        <v>2</v>
      </c>
      <c r="K91" s="25">
        <f t="shared" ca="1" si="41"/>
        <v>0</v>
      </c>
      <c r="L91" s="30"/>
      <c r="M91" s="25">
        <f t="shared" ca="1" si="41"/>
        <v>2</v>
      </c>
      <c r="N91" s="25">
        <f t="shared" ca="1" si="41"/>
        <v>0</v>
      </c>
      <c r="O91" s="25">
        <f t="shared" ca="1" si="41"/>
        <v>2</v>
      </c>
    </row>
    <row r="92" spans="1:15" outlineLevel="1" x14ac:dyDescent="0.2">
      <c r="A92" s="48" t="s">
        <v>35</v>
      </c>
      <c r="B92" s="25">
        <f ca="1">COUNTIF(INDIRECT($A$90&amp;"!$H:$H"),$A92&amp;B$90)+COUNTIF(INDIRECT($A$90&amp;"!$H:$H"),B$90&amp;$A92)</f>
        <v>1</v>
      </c>
      <c r="C92" s="30"/>
      <c r="D92" s="25">
        <f t="shared" ca="1" si="41"/>
        <v>2</v>
      </c>
      <c r="E92" s="30"/>
      <c r="F92" s="25">
        <f t="shared" ca="1" si="41"/>
        <v>2</v>
      </c>
      <c r="G92" s="25">
        <f t="shared" ca="1" si="41"/>
        <v>0</v>
      </c>
      <c r="H92" s="25">
        <f t="shared" ca="1" si="41"/>
        <v>0</v>
      </c>
      <c r="I92" s="25">
        <f ca="1">COUNTIF(INDIRECT($A$90&amp;"!$H:$H"),$A92&amp;I$90)+COUNTIF(INDIRECT($A$90&amp;"!$H:$H"),I$90&amp;$A92)</f>
        <v>1</v>
      </c>
      <c r="J92" s="30"/>
      <c r="K92" s="25">
        <f ca="1">COUNTIF(INDIRECT($A$90&amp;"!$H:$H"),$A92&amp;K$90)+COUNTIF(INDIRECT($A$90&amp;"!$H:$H"),K$90&amp;$A92)</f>
        <v>2</v>
      </c>
      <c r="L92" s="30"/>
      <c r="M92" s="25">
        <f t="shared" ca="1" si="41"/>
        <v>2</v>
      </c>
      <c r="N92" s="25">
        <f t="shared" ca="1" si="41"/>
        <v>0</v>
      </c>
      <c r="O92" s="25">
        <f t="shared" ca="1" si="41"/>
        <v>1</v>
      </c>
    </row>
    <row r="93" spans="1:15" outlineLevel="1" x14ac:dyDescent="0.2">
      <c r="A93" s="30" t="s">
        <v>36</v>
      </c>
      <c r="B93" s="25">
        <f t="shared" ref="B93:I104" ca="1" si="42">COUNTIF(INDIRECT($A$90&amp;"!$H:$H"),$A93&amp;B$90)+COUNTIF(INDIRECT($A$90&amp;"!$H:$H"),B$90&amp;$A93)</f>
        <v>2</v>
      </c>
      <c r="C93" s="25">
        <f t="shared" ca="1" si="41"/>
        <v>2</v>
      </c>
      <c r="D93" s="30"/>
      <c r="E93" s="30"/>
      <c r="F93" s="25">
        <f t="shared" ca="1" si="41"/>
        <v>1</v>
      </c>
      <c r="G93" s="25">
        <f t="shared" ca="1" si="41"/>
        <v>0</v>
      </c>
      <c r="H93" s="25">
        <f t="shared" ca="1" si="41"/>
        <v>2</v>
      </c>
      <c r="I93" s="25">
        <f t="shared" ca="1" si="42"/>
        <v>0</v>
      </c>
      <c r="J93" s="25">
        <f t="shared" ca="1" si="41"/>
        <v>2</v>
      </c>
      <c r="K93" s="30"/>
      <c r="L93" s="30"/>
      <c r="M93" s="25">
        <f t="shared" ca="1" si="41"/>
        <v>2</v>
      </c>
      <c r="N93" s="25">
        <f t="shared" ca="1" si="41"/>
        <v>0</v>
      </c>
      <c r="O93" s="25">
        <f t="shared" ca="1" si="41"/>
        <v>1</v>
      </c>
    </row>
    <row r="94" spans="1:15" outlineLevel="1" x14ac:dyDescent="0.2">
      <c r="A94" s="49" t="s">
        <v>37</v>
      </c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</row>
    <row r="95" spans="1:15" outlineLevel="1" x14ac:dyDescent="0.2">
      <c r="A95" s="48" t="s">
        <v>38</v>
      </c>
      <c r="B95" s="25">
        <f t="shared" ca="1" si="42"/>
        <v>2</v>
      </c>
      <c r="C95" s="25">
        <f t="shared" ca="1" si="41"/>
        <v>2</v>
      </c>
      <c r="D95" s="25">
        <f t="shared" ca="1" si="41"/>
        <v>1</v>
      </c>
      <c r="E95" s="30"/>
      <c r="F95" s="30"/>
      <c r="G95" s="25">
        <f t="shared" ca="1" si="41"/>
        <v>0</v>
      </c>
      <c r="H95" s="25">
        <f t="shared" ca="1" si="41"/>
        <v>2</v>
      </c>
      <c r="I95" s="25">
        <f t="shared" ca="1" si="42"/>
        <v>2</v>
      </c>
      <c r="J95" s="25">
        <f t="shared" ca="1" si="41"/>
        <v>2</v>
      </c>
      <c r="K95" s="25">
        <f t="shared" ca="1" si="41"/>
        <v>2</v>
      </c>
      <c r="L95" s="30"/>
      <c r="M95" s="30"/>
      <c r="N95" s="25">
        <f t="shared" ca="1" si="41"/>
        <v>0</v>
      </c>
      <c r="O95" s="25">
        <f t="shared" ca="1" si="41"/>
        <v>2</v>
      </c>
    </row>
    <row r="96" spans="1:15" outlineLevel="1" x14ac:dyDescent="0.2">
      <c r="A96" s="49" t="s">
        <v>39</v>
      </c>
      <c r="B96" s="25">
        <f t="shared" ca="1" si="42"/>
        <v>0</v>
      </c>
      <c r="C96" s="25">
        <f t="shared" ca="1" si="41"/>
        <v>0</v>
      </c>
      <c r="D96" s="25">
        <f t="shared" ca="1" si="41"/>
        <v>0</v>
      </c>
      <c r="E96" s="30"/>
      <c r="F96" s="25">
        <f t="shared" ca="1" si="41"/>
        <v>0</v>
      </c>
      <c r="G96" s="30"/>
      <c r="H96" s="25">
        <f t="shared" ca="1" si="41"/>
        <v>0</v>
      </c>
      <c r="I96" s="25">
        <f t="shared" ca="1" si="42"/>
        <v>0</v>
      </c>
      <c r="J96" s="25">
        <f t="shared" ca="1" si="41"/>
        <v>0</v>
      </c>
      <c r="K96" s="25">
        <f t="shared" ca="1" si="41"/>
        <v>0</v>
      </c>
      <c r="L96" s="30"/>
      <c r="M96" s="25">
        <f t="shared" ca="1" si="41"/>
        <v>0</v>
      </c>
      <c r="N96" s="30"/>
      <c r="O96" s="25">
        <f t="shared" ca="1" si="41"/>
        <v>0</v>
      </c>
    </row>
    <row r="97" spans="1:15" x14ac:dyDescent="0.2">
      <c r="A97" s="49" t="s">
        <v>40</v>
      </c>
      <c r="B97" s="25">
        <f t="shared" ca="1" si="42"/>
        <v>1</v>
      </c>
      <c r="C97" s="25">
        <f t="shared" ca="1" si="41"/>
        <v>0</v>
      </c>
      <c r="D97" s="25">
        <f t="shared" ca="1" si="41"/>
        <v>2</v>
      </c>
      <c r="E97" s="30"/>
      <c r="F97" s="25">
        <f t="shared" ca="1" si="41"/>
        <v>2</v>
      </c>
      <c r="G97" s="25">
        <f t="shared" ca="1" si="41"/>
        <v>0</v>
      </c>
      <c r="H97" s="30"/>
      <c r="I97" s="25">
        <f t="shared" ca="1" si="42"/>
        <v>0</v>
      </c>
      <c r="J97" s="25">
        <f t="shared" ca="1" si="41"/>
        <v>1</v>
      </c>
      <c r="K97" s="25">
        <f t="shared" ca="1" si="41"/>
        <v>2</v>
      </c>
      <c r="L97" s="30"/>
      <c r="M97" s="25">
        <f t="shared" ca="1" si="41"/>
        <v>2</v>
      </c>
      <c r="N97" s="25">
        <f t="shared" ca="1" si="41"/>
        <v>0</v>
      </c>
      <c r="O97" s="30"/>
    </row>
    <row r="98" spans="1:15" x14ac:dyDescent="0.2">
      <c r="A98" s="48" t="s">
        <v>77</v>
      </c>
      <c r="B98" s="30"/>
      <c r="C98" s="25">
        <f t="shared" ca="1" si="41"/>
        <v>1</v>
      </c>
      <c r="D98" s="25">
        <f t="shared" ca="1" si="41"/>
        <v>0</v>
      </c>
      <c r="E98" s="30"/>
      <c r="F98" s="25">
        <f t="shared" ca="1" si="41"/>
        <v>2</v>
      </c>
      <c r="G98" s="25">
        <f t="shared" ca="1" si="41"/>
        <v>0</v>
      </c>
      <c r="H98" s="25">
        <f t="shared" ca="1" si="41"/>
        <v>0</v>
      </c>
      <c r="I98" s="30"/>
      <c r="J98" s="25">
        <f t="shared" ca="1" si="41"/>
        <v>1</v>
      </c>
      <c r="K98" s="25">
        <f t="shared" ca="1" si="41"/>
        <v>2</v>
      </c>
      <c r="L98" s="30"/>
      <c r="M98" s="25">
        <f t="shared" ca="1" si="41"/>
        <v>2</v>
      </c>
      <c r="N98" s="25">
        <f t="shared" ca="1" si="41"/>
        <v>0</v>
      </c>
      <c r="O98" s="25">
        <f t="shared" ca="1" si="41"/>
        <v>0</v>
      </c>
    </row>
    <row r="99" spans="1:15" x14ac:dyDescent="0.2">
      <c r="A99" s="48" t="s">
        <v>78</v>
      </c>
      <c r="B99" s="25">
        <f t="shared" ca="1" si="42"/>
        <v>2</v>
      </c>
      <c r="C99" s="30"/>
      <c r="D99" s="25">
        <f t="shared" ca="1" si="41"/>
        <v>2</v>
      </c>
      <c r="E99" s="30"/>
      <c r="F99" s="25">
        <f t="shared" ca="1" si="41"/>
        <v>2</v>
      </c>
      <c r="G99" s="25">
        <f t="shared" ca="1" si="41"/>
        <v>0</v>
      </c>
      <c r="H99" s="25">
        <f t="shared" ca="1" si="41"/>
        <v>1</v>
      </c>
      <c r="I99" s="25">
        <f t="shared" ca="1" si="42"/>
        <v>1</v>
      </c>
      <c r="J99" s="30"/>
      <c r="K99" s="25">
        <f t="shared" ca="1" si="41"/>
        <v>2</v>
      </c>
      <c r="L99" s="30"/>
      <c r="M99" s="25">
        <f t="shared" ca="1" si="41"/>
        <v>2</v>
      </c>
      <c r="N99" s="25">
        <f t="shared" ca="1" si="41"/>
        <v>0</v>
      </c>
      <c r="O99" s="25">
        <f t="shared" ca="1" si="41"/>
        <v>0</v>
      </c>
    </row>
    <row r="100" spans="1:15" x14ac:dyDescent="0.2">
      <c r="A100" s="30" t="s">
        <v>79</v>
      </c>
      <c r="B100" s="25">
        <f t="shared" ca="1" si="42"/>
        <v>0</v>
      </c>
      <c r="C100" s="25">
        <f t="shared" ca="1" si="41"/>
        <v>2</v>
      </c>
      <c r="D100" s="30"/>
      <c r="E100" s="30"/>
      <c r="F100" s="25">
        <f t="shared" ca="1" si="41"/>
        <v>2</v>
      </c>
      <c r="G100" s="25">
        <f t="shared" ca="1" si="41"/>
        <v>0</v>
      </c>
      <c r="H100" s="25">
        <f t="shared" ca="1" si="41"/>
        <v>2</v>
      </c>
      <c r="I100" s="25">
        <f t="shared" ca="1" si="42"/>
        <v>2</v>
      </c>
      <c r="J100" s="25">
        <f t="shared" ca="1" si="41"/>
        <v>2</v>
      </c>
      <c r="K100" s="30"/>
      <c r="L100" s="30"/>
      <c r="M100" s="25">
        <f t="shared" ca="1" si="41"/>
        <v>1</v>
      </c>
      <c r="N100" s="25">
        <f t="shared" ca="1" si="41"/>
        <v>0</v>
      </c>
      <c r="O100" s="25">
        <f t="shared" ca="1" si="41"/>
        <v>2</v>
      </c>
    </row>
    <row r="101" spans="1:15" x14ac:dyDescent="0.2">
      <c r="A101" s="48" t="s">
        <v>80</v>
      </c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</row>
    <row r="102" spans="1:15" x14ac:dyDescent="0.2">
      <c r="A102" s="48" t="s">
        <v>81</v>
      </c>
      <c r="B102" s="25">
        <f t="shared" ca="1" si="42"/>
        <v>2</v>
      </c>
      <c r="C102" s="25">
        <f t="shared" ca="1" si="41"/>
        <v>2</v>
      </c>
      <c r="D102" s="25">
        <f t="shared" ca="1" si="41"/>
        <v>2</v>
      </c>
      <c r="E102" s="30"/>
      <c r="F102" s="30"/>
      <c r="G102" s="25">
        <f t="shared" ca="1" si="41"/>
        <v>0</v>
      </c>
      <c r="H102" s="25">
        <f t="shared" ca="1" si="41"/>
        <v>2</v>
      </c>
      <c r="I102" s="25">
        <f t="shared" ca="1" si="42"/>
        <v>2</v>
      </c>
      <c r="J102" s="25">
        <f t="shared" ca="1" si="41"/>
        <v>2</v>
      </c>
      <c r="K102" s="25">
        <f t="shared" ca="1" si="41"/>
        <v>1</v>
      </c>
      <c r="L102" s="30"/>
      <c r="M102" s="30"/>
      <c r="N102" s="25">
        <f t="shared" ca="1" si="41"/>
        <v>0</v>
      </c>
      <c r="O102" s="25">
        <f t="shared" ca="1" si="41"/>
        <v>2</v>
      </c>
    </row>
    <row r="103" spans="1:15" x14ac:dyDescent="0.2">
      <c r="A103" s="30" t="s">
        <v>82</v>
      </c>
      <c r="B103" s="25">
        <f t="shared" ca="1" si="42"/>
        <v>0</v>
      </c>
      <c r="C103" s="25">
        <f t="shared" ca="1" si="41"/>
        <v>0</v>
      </c>
      <c r="D103" s="25">
        <f t="shared" ca="1" si="41"/>
        <v>0</v>
      </c>
      <c r="E103" s="30"/>
      <c r="F103" s="25">
        <f t="shared" ca="1" si="41"/>
        <v>0</v>
      </c>
      <c r="G103" s="30"/>
      <c r="H103" s="25">
        <f t="shared" ca="1" si="41"/>
        <v>0</v>
      </c>
      <c r="I103" s="25">
        <f t="shared" ca="1" si="42"/>
        <v>0</v>
      </c>
      <c r="J103" s="25">
        <f t="shared" ca="1" si="41"/>
        <v>0</v>
      </c>
      <c r="K103" s="25">
        <f t="shared" ca="1" si="41"/>
        <v>0</v>
      </c>
      <c r="L103" s="30"/>
      <c r="M103" s="25">
        <f t="shared" ca="1" si="41"/>
        <v>0</v>
      </c>
      <c r="N103" s="30"/>
      <c r="O103" s="25">
        <f t="shared" ca="1" si="41"/>
        <v>0</v>
      </c>
    </row>
    <row r="104" spans="1:15" x14ac:dyDescent="0.2">
      <c r="A104" s="30" t="s">
        <v>83</v>
      </c>
      <c r="B104" s="25">
        <f t="shared" ca="1" si="42"/>
        <v>2</v>
      </c>
      <c r="C104" s="25">
        <f t="shared" ca="1" si="41"/>
        <v>1</v>
      </c>
      <c r="D104" s="25">
        <f t="shared" ca="1" si="41"/>
        <v>1</v>
      </c>
      <c r="E104" s="30"/>
      <c r="F104" s="25">
        <f t="shared" ca="1" si="41"/>
        <v>2</v>
      </c>
      <c r="G104" s="25">
        <f t="shared" ca="1" si="41"/>
        <v>0</v>
      </c>
      <c r="H104" s="30"/>
      <c r="I104" s="25">
        <f t="shared" ca="1" si="42"/>
        <v>0</v>
      </c>
      <c r="J104" s="25">
        <f t="shared" ca="1" si="41"/>
        <v>0</v>
      </c>
      <c r="K104" s="25">
        <f t="shared" ca="1" si="41"/>
        <v>2</v>
      </c>
      <c r="L104" s="30"/>
      <c r="M104" s="25">
        <f t="shared" ca="1" si="41"/>
        <v>2</v>
      </c>
      <c r="N104" s="25">
        <f t="shared" ca="1" si="41"/>
        <v>0</v>
      </c>
      <c r="O104" s="30"/>
    </row>
  </sheetData>
  <phoneticPr fontId="1"/>
  <conditionalFormatting sqref="B19:G24">
    <cfRule type="colorScale" priority="4">
      <colorScale>
        <cfvo type="num" val="0"/>
        <cfvo type="num" val="14"/>
        <color theme="0"/>
        <color rgb="FFFF0000"/>
      </colorScale>
    </cfRule>
  </conditionalFormatting>
  <conditionalFormatting sqref="B91:O104">
    <cfRule type="colorScale" priority="1">
      <colorScale>
        <cfvo type="num" val="0"/>
        <cfvo type="num" val="1"/>
        <color theme="0" tint="-0.249977111117893"/>
        <color theme="8" tint="-0.24997711111789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22"/>
  <sheetViews>
    <sheetView workbookViewId="0">
      <selection activeCell="K13" sqref="K13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22" customWidth="1"/>
    <col min="12" max="12" width="4.6640625" customWidth="1"/>
    <col min="13" max="13" width="7.1640625" bestFit="1" customWidth="1"/>
  </cols>
  <sheetData>
    <row r="1" spans="1:13" x14ac:dyDescent="0.2">
      <c r="A1" s="16" t="s">
        <v>1</v>
      </c>
      <c r="B1" s="10" t="s">
        <v>0</v>
      </c>
      <c r="C1" s="10" t="s">
        <v>24</v>
      </c>
      <c r="D1" s="11" t="s">
        <v>17</v>
      </c>
      <c r="E1" s="10" t="s">
        <v>18</v>
      </c>
      <c r="F1" s="10" t="s">
        <v>19</v>
      </c>
      <c r="G1" s="10" t="s">
        <v>22</v>
      </c>
      <c r="H1" s="10" t="s">
        <v>20</v>
      </c>
      <c r="I1" s="10" t="s">
        <v>21</v>
      </c>
      <c r="J1" s="12" t="s">
        <v>23</v>
      </c>
      <c r="K1" s="23">
        <v>1</v>
      </c>
      <c r="L1" s="20" t="s">
        <v>49</v>
      </c>
      <c r="M1" s="21"/>
    </row>
    <row r="2" spans="1:13" x14ac:dyDescent="0.2">
      <c r="A2" s="3">
        <v>1</v>
      </c>
      <c r="B2" s="2" t="s">
        <v>186</v>
      </c>
      <c r="C2" s="2">
        <v>10</v>
      </c>
      <c r="D2" s="2">
        <v>6</v>
      </c>
      <c r="E2" s="2">
        <v>3</v>
      </c>
      <c r="F2" s="2">
        <v>1</v>
      </c>
      <c r="G2" s="2">
        <v>19</v>
      </c>
      <c r="H2" s="2">
        <v>12</v>
      </c>
      <c r="I2" s="2">
        <v>7</v>
      </c>
      <c r="J2" s="9">
        <v>21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21</v>
      </c>
      <c r="M2" s="21"/>
    </row>
    <row r="3" spans="1:13" x14ac:dyDescent="0.2">
      <c r="A3" s="3">
        <v>2</v>
      </c>
      <c r="B3" s="2" t="s">
        <v>187</v>
      </c>
      <c r="C3" s="2">
        <v>10</v>
      </c>
      <c r="D3" s="2">
        <v>6</v>
      </c>
      <c r="E3" s="2">
        <v>2</v>
      </c>
      <c r="F3" s="2">
        <v>2</v>
      </c>
      <c r="G3" s="2">
        <v>20</v>
      </c>
      <c r="H3" s="2">
        <v>15</v>
      </c>
      <c r="I3" s="2">
        <v>5</v>
      </c>
      <c r="J3" s="2">
        <v>20</v>
      </c>
      <c r="K3" s="22" t="str">
        <f t="shared" si="0"/>
        <v>锁二</v>
      </c>
      <c r="L3" s="21">
        <f t="shared" ref="L3:L7" si="1">((COUNTA(A$2:A$15)-1)*2-C3)*3+J3</f>
        <v>20</v>
      </c>
      <c r="M3" s="21"/>
    </row>
    <row r="4" spans="1:13" x14ac:dyDescent="0.2">
      <c r="A4" s="3">
        <v>3</v>
      </c>
      <c r="B4" s="2" t="s">
        <v>188</v>
      </c>
      <c r="C4" s="2">
        <v>10</v>
      </c>
      <c r="D4" s="2">
        <v>5</v>
      </c>
      <c r="E4" s="2">
        <v>3</v>
      </c>
      <c r="F4" s="2">
        <v>2</v>
      </c>
      <c r="G4" s="2">
        <v>21</v>
      </c>
      <c r="H4" s="2">
        <v>12</v>
      </c>
      <c r="I4" s="2">
        <v>9</v>
      </c>
      <c r="J4" s="2">
        <v>18</v>
      </c>
      <c r="K4" s="22" t="str">
        <f t="shared" si="0"/>
        <v>锁三</v>
      </c>
      <c r="L4" s="21">
        <f t="shared" si="1"/>
        <v>18</v>
      </c>
      <c r="M4" s="21"/>
    </row>
    <row r="5" spans="1:13" x14ac:dyDescent="0.2">
      <c r="A5" s="3">
        <v>4</v>
      </c>
      <c r="B5" s="2" t="s">
        <v>189</v>
      </c>
      <c r="C5" s="2">
        <v>10</v>
      </c>
      <c r="D5" s="2">
        <v>3</v>
      </c>
      <c r="E5" s="2">
        <v>1</v>
      </c>
      <c r="F5" s="2">
        <v>6</v>
      </c>
      <c r="G5" s="2">
        <v>9</v>
      </c>
      <c r="H5" s="2">
        <v>11</v>
      </c>
      <c r="I5" s="2">
        <v>-2</v>
      </c>
      <c r="J5" s="2">
        <v>10</v>
      </c>
      <c r="K5" s="22" t="str">
        <f t="shared" si="0"/>
        <v/>
      </c>
      <c r="L5" s="21">
        <f t="shared" si="1"/>
        <v>10</v>
      </c>
      <c r="M5" s="21"/>
    </row>
    <row r="6" spans="1:13" x14ac:dyDescent="0.2">
      <c r="A6" s="3">
        <v>5</v>
      </c>
      <c r="B6" s="2" t="s">
        <v>190</v>
      </c>
      <c r="C6" s="2">
        <v>10</v>
      </c>
      <c r="D6" s="2">
        <v>2</v>
      </c>
      <c r="E6" s="2">
        <v>3</v>
      </c>
      <c r="F6" s="2">
        <v>5</v>
      </c>
      <c r="G6" s="2">
        <v>9</v>
      </c>
      <c r="H6" s="2">
        <v>14</v>
      </c>
      <c r="I6" s="2">
        <v>-5</v>
      </c>
      <c r="J6" s="2">
        <v>9</v>
      </c>
      <c r="K6" s="22" t="str">
        <f t="shared" si="0"/>
        <v/>
      </c>
      <c r="L6" s="21">
        <f t="shared" si="1"/>
        <v>9</v>
      </c>
      <c r="M6" s="21"/>
    </row>
    <row r="7" spans="1:13" x14ac:dyDescent="0.2">
      <c r="A7" s="3">
        <v>6</v>
      </c>
      <c r="B7" s="2" t="s">
        <v>191</v>
      </c>
      <c r="C7" s="2">
        <v>10</v>
      </c>
      <c r="D7" s="2">
        <v>2</v>
      </c>
      <c r="E7" s="2">
        <v>0</v>
      </c>
      <c r="F7" s="2">
        <v>8</v>
      </c>
      <c r="G7" s="2">
        <v>5</v>
      </c>
      <c r="H7" s="2">
        <v>19</v>
      </c>
      <c r="I7" s="2">
        <v>-14</v>
      </c>
      <c r="J7" s="2">
        <v>6</v>
      </c>
      <c r="K7" s="22" t="str">
        <f t="shared" si="0"/>
        <v>降决</v>
      </c>
      <c r="L7" s="21">
        <f t="shared" si="1"/>
        <v>6</v>
      </c>
      <c r="M7" s="21"/>
    </row>
    <row r="8" spans="1:13" x14ac:dyDescent="0.2">
      <c r="M8" s="2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L22"/>
  <sheetViews>
    <sheetView workbookViewId="0">
      <selection activeCell="F13" sqref="F13"/>
    </sheetView>
  </sheetViews>
  <sheetFormatPr baseColWidth="10" defaultColWidth="8.83203125" defaultRowHeight="15" x14ac:dyDescent="0.2"/>
  <cols>
    <col min="1" max="1" width="7.1640625" bestFit="1" customWidth="1"/>
    <col min="2" max="2" width="14.6640625" customWidth="1"/>
    <col min="3" max="3" width="3.5" bestFit="1" customWidth="1"/>
    <col min="4" max="5" width="3.33203125" bestFit="1" customWidth="1"/>
    <col min="6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13" t="s">
        <v>1</v>
      </c>
      <c r="B1" s="14" t="s">
        <v>0</v>
      </c>
      <c r="C1" s="14" t="s">
        <v>24</v>
      </c>
      <c r="D1" s="15" t="s">
        <v>17</v>
      </c>
      <c r="E1" s="14" t="s">
        <v>18</v>
      </c>
      <c r="F1" s="14" t="s">
        <v>19</v>
      </c>
      <c r="G1" s="14" t="s">
        <v>22</v>
      </c>
      <c r="H1" s="14" t="s">
        <v>20</v>
      </c>
      <c r="I1" s="14" t="s">
        <v>21</v>
      </c>
      <c r="J1" s="14" t="s">
        <v>23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198</v>
      </c>
      <c r="C2" s="2">
        <v>10</v>
      </c>
      <c r="D2" s="2">
        <v>7</v>
      </c>
      <c r="E2" s="2">
        <v>1</v>
      </c>
      <c r="F2" s="2">
        <v>2</v>
      </c>
      <c r="G2" s="2">
        <v>22</v>
      </c>
      <c r="H2" s="2">
        <v>12</v>
      </c>
      <c r="I2" s="2">
        <v>10</v>
      </c>
      <c r="J2" s="9">
        <v>22</v>
      </c>
      <c r="K2" s="22" t="str">
        <f t="shared" ref="K2:K6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锁二</v>
      </c>
      <c r="L2" s="21">
        <f>((COUNTA(A$2:A$15)-1)*2-C2)*3+J2</f>
        <v>22</v>
      </c>
    </row>
    <row r="3" spans="1:12" x14ac:dyDescent="0.2">
      <c r="A3" s="3">
        <v>2</v>
      </c>
      <c r="B3" s="2" t="s">
        <v>199</v>
      </c>
      <c r="C3" s="2">
        <v>10</v>
      </c>
      <c r="D3" s="2">
        <v>7</v>
      </c>
      <c r="E3" s="2">
        <v>1</v>
      </c>
      <c r="F3" s="2">
        <v>2</v>
      </c>
      <c r="G3" s="2">
        <v>18</v>
      </c>
      <c r="H3" s="2">
        <v>12</v>
      </c>
      <c r="I3" s="2">
        <v>6</v>
      </c>
      <c r="J3" s="2">
        <v>22</v>
      </c>
      <c r="K3" s="22" t="str">
        <f t="shared" si="0"/>
        <v>锁二</v>
      </c>
      <c r="L3" s="21">
        <f t="shared" ref="L3:L7" si="1">((COUNTA(A$2:A$15)-1)*2-C3)*3+J3</f>
        <v>22</v>
      </c>
    </row>
    <row r="4" spans="1:12" x14ac:dyDescent="0.2">
      <c r="A4" s="3">
        <v>3</v>
      </c>
      <c r="B4" s="2" t="s">
        <v>200</v>
      </c>
      <c r="C4" s="2">
        <v>10</v>
      </c>
      <c r="D4" s="2">
        <v>4</v>
      </c>
      <c r="E4" s="2">
        <v>1</v>
      </c>
      <c r="F4" s="2">
        <v>5</v>
      </c>
      <c r="G4" s="2">
        <v>13</v>
      </c>
      <c r="H4" s="2">
        <v>17</v>
      </c>
      <c r="I4" s="2">
        <v>-4</v>
      </c>
      <c r="J4" s="2">
        <v>13</v>
      </c>
      <c r="K4" s="22" t="str">
        <f t="shared" si="0"/>
        <v>锁三</v>
      </c>
      <c r="L4" s="21">
        <f t="shared" si="1"/>
        <v>13</v>
      </c>
    </row>
    <row r="5" spans="1:12" x14ac:dyDescent="0.2">
      <c r="A5" s="3">
        <v>4</v>
      </c>
      <c r="B5" s="2" t="s">
        <v>201</v>
      </c>
      <c r="C5" s="2">
        <v>10</v>
      </c>
      <c r="D5" s="2">
        <v>3</v>
      </c>
      <c r="E5" s="2">
        <v>3</v>
      </c>
      <c r="F5" s="2">
        <v>4</v>
      </c>
      <c r="G5" s="2">
        <v>15</v>
      </c>
      <c r="H5" s="2">
        <v>14</v>
      </c>
      <c r="I5" s="2">
        <v>1</v>
      </c>
      <c r="J5" s="2">
        <v>12</v>
      </c>
      <c r="K5" s="22" t="str">
        <f t="shared" si="0"/>
        <v/>
      </c>
      <c r="L5" s="21">
        <f t="shared" si="1"/>
        <v>12</v>
      </c>
    </row>
    <row r="6" spans="1:12" x14ac:dyDescent="0.2">
      <c r="A6" s="3">
        <v>5</v>
      </c>
      <c r="B6" s="2" t="s">
        <v>203</v>
      </c>
      <c r="C6" s="2">
        <v>10</v>
      </c>
      <c r="D6" s="2">
        <v>2</v>
      </c>
      <c r="E6" s="2">
        <v>2</v>
      </c>
      <c r="F6" s="2">
        <v>6</v>
      </c>
      <c r="G6" s="2">
        <v>13</v>
      </c>
      <c r="H6" s="2">
        <v>17</v>
      </c>
      <c r="I6" s="2">
        <v>-4</v>
      </c>
      <c r="J6" s="2">
        <v>8</v>
      </c>
      <c r="K6" s="22" t="str">
        <f t="shared" si="0"/>
        <v/>
      </c>
      <c r="L6" s="21">
        <f t="shared" si="1"/>
        <v>8</v>
      </c>
    </row>
    <row r="7" spans="1:12" x14ac:dyDescent="0.2">
      <c r="A7" s="3">
        <v>6</v>
      </c>
      <c r="B7" s="2" t="s">
        <v>202</v>
      </c>
      <c r="C7" s="2">
        <v>10</v>
      </c>
      <c r="D7" s="2">
        <v>2</v>
      </c>
      <c r="E7" s="2">
        <v>2</v>
      </c>
      <c r="F7" s="2">
        <v>6</v>
      </c>
      <c r="G7" s="2">
        <v>10</v>
      </c>
      <c r="H7" s="2">
        <v>19</v>
      </c>
      <c r="I7" s="2">
        <v>-9</v>
      </c>
      <c r="J7" s="2">
        <v>8</v>
      </c>
      <c r="K7" s="22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1">
        <f t="shared" si="1"/>
        <v>8</v>
      </c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king">
                <anchor moveWithCells="1" sizeWithCells="1">
                  <from>
                    <xdr:col>12</xdr:col>
                    <xdr:colOff>622300</xdr:colOff>
                    <xdr:row>3</xdr:row>
                    <xdr:rowOff>25400</xdr:rowOff>
                  </from>
                  <to>
                    <xdr:col>15</xdr:col>
                    <xdr:colOff>139700</xdr:colOff>
                    <xdr:row>7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L22"/>
  <sheetViews>
    <sheetView workbookViewId="0">
      <selection activeCell="I18" sqref="I18"/>
    </sheetView>
  </sheetViews>
  <sheetFormatPr baseColWidth="10" defaultColWidth="8.83203125" defaultRowHeight="15" x14ac:dyDescent="0.2"/>
  <cols>
    <col min="1" max="1" width="7.1640625" bestFit="1" customWidth="1"/>
    <col min="2" max="2" width="9" bestFit="1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16" t="s">
        <v>1</v>
      </c>
      <c r="B1" s="12" t="s">
        <v>0</v>
      </c>
      <c r="C1" s="18" t="s">
        <v>24</v>
      </c>
      <c r="D1" s="19" t="s">
        <v>17</v>
      </c>
      <c r="E1" s="18" t="s">
        <v>18</v>
      </c>
      <c r="F1" s="18" t="s">
        <v>19</v>
      </c>
      <c r="G1" s="18" t="s">
        <v>22</v>
      </c>
      <c r="H1" s="17" t="s">
        <v>20</v>
      </c>
      <c r="I1" s="17" t="s">
        <v>21</v>
      </c>
      <c r="J1" s="17" t="s">
        <v>23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192</v>
      </c>
      <c r="C2" s="2">
        <v>10</v>
      </c>
      <c r="D2" s="2">
        <v>7</v>
      </c>
      <c r="E2" s="2">
        <v>2</v>
      </c>
      <c r="F2" s="2">
        <v>1</v>
      </c>
      <c r="G2" s="2">
        <v>19</v>
      </c>
      <c r="H2" s="2">
        <v>12</v>
      </c>
      <c r="I2" s="2">
        <v>7</v>
      </c>
      <c r="J2" s="9">
        <v>23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23</v>
      </c>
    </row>
    <row r="3" spans="1:12" x14ac:dyDescent="0.2">
      <c r="A3" s="3">
        <v>2</v>
      </c>
      <c r="B3" s="2" t="s">
        <v>193</v>
      </c>
      <c r="C3" s="2">
        <v>10</v>
      </c>
      <c r="D3" s="2">
        <v>4</v>
      </c>
      <c r="E3" s="2">
        <v>5</v>
      </c>
      <c r="F3" s="2">
        <v>1</v>
      </c>
      <c r="G3" s="2">
        <v>16</v>
      </c>
      <c r="H3" s="2">
        <v>11</v>
      </c>
      <c r="I3" s="2">
        <v>5</v>
      </c>
      <c r="J3" s="2">
        <v>17</v>
      </c>
      <c r="K3" s="22" t="str">
        <f t="shared" si="0"/>
        <v>锁二</v>
      </c>
      <c r="L3" s="21">
        <f t="shared" ref="L3:L7" si="1">((COUNTA(A$2:A$15)-1)*2-C3)*3+J3</f>
        <v>17</v>
      </c>
    </row>
    <row r="4" spans="1:12" x14ac:dyDescent="0.2">
      <c r="A4" s="3">
        <v>3</v>
      </c>
      <c r="B4" s="2" t="s">
        <v>194</v>
      </c>
      <c r="C4" s="2">
        <v>10</v>
      </c>
      <c r="D4" s="2">
        <v>5</v>
      </c>
      <c r="E4" s="2">
        <v>1</v>
      </c>
      <c r="F4" s="2">
        <v>4</v>
      </c>
      <c r="G4" s="2">
        <v>18</v>
      </c>
      <c r="H4" s="2">
        <v>13</v>
      </c>
      <c r="I4" s="2">
        <v>5</v>
      </c>
      <c r="J4" s="2">
        <v>16</v>
      </c>
      <c r="K4" s="22" t="str">
        <f t="shared" si="0"/>
        <v>锁三</v>
      </c>
      <c r="L4" s="21">
        <f t="shared" si="1"/>
        <v>16</v>
      </c>
    </row>
    <row r="5" spans="1:12" x14ac:dyDescent="0.2">
      <c r="A5" s="3">
        <v>4</v>
      </c>
      <c r="B5" s="2" t="s">
        <v>195</v>
      </c>
      <c r="C5" s="2">
        <v>10</v>
      </c>
      <c r="D5" s="2">
        <v>2</v>
      </c>
      <c r="E5" s="2">
        <v>4</v>
      </c>
      <c r="F5" s="2">
        <v>4</v>
      </c>
      <c r="G5" s="2">
        <v>6</v>
      </c>
      <c r="H5" s="2">
        <v>11</v>
      </c>
      <c r="I5" s="2">
        <v>-5</v>
      </c>
      <c r="J5" s="2">
        <v>10</v>
      </c>
      <c r="K5" s="22" t="str">
        <f t="shared" si="0"/>
        <v/>
      </c>
      <c r="L5" s="21">
        <f t="shared" si="1"/>
        <v>10</v>
      </c>
    </row>
    <row r="6" spans="1:12" x14ac:dyDescent="0.2">
      <c r="A6" s="3">
        <v>5</v>
      </c>
      <c r="B6" s="2" t="s">
        <v>196</v>
      </c>
      <c r="C6" s="2">
        <v>10</v>
      </c>
      <c r="D6" s="2">
        <v>2</v>
      </c>
      <c r="E6" s="2">
        <v>3</v>
      </c>
      <c r="F6" s="2">
        <v>5</v>
      </c>
      <c r="G6" s="2">
        <v>13</v>
      </c>
      <c r="H6" s="2">
        <v>19</v>
      </c>
      <c r="I6" s="2">
        <v>-6</v>
      </c>
      <c r="J6" s="2">
        <v>9</v>
      </c>
      <c r="K6" s="22" t="str">
        <f t="shared" si="0"/>
        <v/>
      </c>
      <c r="L6" s="21">
        <f t="shared" si="1"/>
        <v>9</v>
      </c>
    </row>
    <row r="7" spans="1:12" x14ac:dyDescent="0.2">
      <c r="A7" s="3">
        <v>6</v>
      </c>
      <c r="B7" s="2" t="s">
        <v>197</v>
      </c>
      <c r="C7" s="2">
        <v>10</v>
      </c>
      <c r="D7" s="2">
        <v>1</v>
      </c>
      <c r="E7" s="2">
        <v>3</v>
      </c>
      <c r="F7" s="2">
        <v>6</v>
      </c>
      <c r="G7" s="2">
        <v>12</v>
      </c>
      <c r="H7" s="2">
        <v>18</v>
      </c>
      <c r="I7" s="2">
        <v>-6</v>
      </c>
      <c r="J7" s="2">
        <v>6</v>
      </c>
      <c r="K7" s="22" t="str">
        <f t="shared" si="0"/>
        <v>降决</v>
      </c>
      <c r="L7" s="21">
        <f t="shared" si="1"/>
        <v>6</v>
      </c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L22"/>
  <sheetViews>
    <sheetView workbookViewId="0">
      <selection activeCell="O23" sqref="O23"/>
    </sheetView>
  </sheetViews>
  <sheetFormatPr baseColWidth="10" defaultColWidth="8.83203125" defaultRowHeight="15" x14ac:dyDescent="0.2"/>
  <cols>
    <col min="1" max="1" width="7.1640625" bestFit="1" customWidth="1"/>
    <col min="2" max="2" width="9.832031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40" t="s">
        <v>1</v>
      </c>
      <c r="B1" s="41" t="s">
        <v>64</v>
      </c>
      <c r="C1" s="12" t="s">
        <v>24</v>
      </c>
      <c r="D1" s="39" t="s">
        <v>17</v>
      </c>
      <c r="E1" s="12" t="s">
        <v>18</v>
      </c>
      <c r="F1" s="12" t="s">
        <v>19</v>
      </c>
      <c r="G1" s="12" t="s">
        <v>22</v>
      </c>
      <c r="H1" s="42" t="s">
        <v>65</v>
      </c>
      <c r="I1" s="43" t="s">
        <v>66</v>
      </c>
      <c r="J1" s="43" t="s">
        <v>67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168</v>
      </c>
      <c r="C2" s="2">
        <v>10</v>
      </c>
      <c r="D2" s="2">
        <v>8</v>
      </c>
      <c r="E2" s="2">
        <v>0</v>
      </c>
      <c r="F2" s="2">
        <v>2</v>
      </c>
      <c r="G2" s="2">
        <v>32</v>
      </c>
      <c r="H2" s="2">
        <v>12</v>
      </c>
      <c r="I2" s="2">
        <v>20</v>
      </c>
      <c r="J2" s="9">
        <v>24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24</v>
      </c>
    </row>
    <row r="3" spans="1:12" x14ac:dyDescent="0.2">
      <c r="A3" s="3">
        <v>2</v>
      </c>
      <c r="B3" s="2" t="s">
        <v>169</v>
      </c>
      <c r="C3" s="2">
        <v>10</v>
      </c>
      <c r="D3" s="2">
        <v>7</v>
      </c>
      <c r="E3" s="2">
        <v>1</v>
      </c>
      <c r="F3" s="2">
        <v>2</v>
      </c>
      <c r="G3" s="2">
        <v>18</v>
      </c>
      <c r="H3" s="2">
        <v>8</v>
      </c>
      <c r="I3" s="2">
        <v>10</v>
      </c>
      <c r="J3" s="2">
        <v>22</v>
      </c>
      <c r="K3" s="22" t="str">
        <f t="shared" si="0"/>
        <v>锁二</v>
      </c>
      <c r="L3" s="21">
        <f t="shared" ref="L3:L7" si="1">((COUNTA(A$2:A$15)-1)*2-C3)*3+J3</f>
        <v>22</v>
      </c>
    </row>
    <row r="4" spans="1:12" x14ac:dyDescent="0.2">
      <c r="A4" s="3">
        <v>3</v>
      </c>
      <c r="B4" s="2" t="s">
        <v>170</v>
      </c>
      <c r="C4" s="2">
        <v>10</v>
      </c>
      <c r="D4" s="2">
        <v>4</v>
      </c>
      <c r="E4" s="2">
        <v>2</v>
      </c>
      <c r="F4" s="2">
        <v>4</v>
      </c>
      <c r="G4" s="2">
        <v>9</v>
      </c>
      <c r="H4" s="2">
        <v>10</v>
      </c>
      <c r="I4" s="2">
        <v>-1</v>
      </c>
      <c r="J4" s="2">
        <v>14</v>
      </c>
      <c r="K4" s="22" t="str">
        <f t="shared" si="0"/>
        <v>锁三</v>
      </c>
      <c r="L4" s="21">
        <f t="shared" si="1"/>
        <v>14</v>
      </c>
    </row>
    <row r="5" spans="1:12" x14ac:dyDescent="0.2">
      <c r="A5" s="3">
        <v>4</v>
      </c>
      <c r="B5" s="2" t="s">
        <v>171</v>
      </c>
      <c r="C5" s="2">
        <v>10</v>
      </c>
      <c r="D5" s="2">
        <v>4</v>
      </c>
      <c r="E5" s="2">
        <v>0</v>
      </c>
      <c r="F5" s="2">
        <v>6</v>
      </c>
      <c r="G5" s="2">
        <v>13</v>
      </c>
      <c r="H5" s="2">
        <v>16</v>
      </c>
      <c r="I5" s="2">
        <v>-3</v>
      </c>
      <c r="J5" s="2">
        <v>12</v>
      </c>
      <c r="K5" s="22" t="str">
        <f t="shared" si="0"/>
        <v/>
      </c>
      <c r="L5" s="21">
        <f t="shared" si="1"/>
        <v>12</v>
      </c>
    </row>
    <row r="6" spans="1:12" x14ac:dyDescent="0.2">
      <c r="A6" s="3">
        <v>5</v>
      </c>
      <c r="B6" s="2" t="s">
        <v>172</v>
      </c>
      <c r="C6" s="2">
        <v>10</v>
      </c>
      <c r="D6" s="2">
        <v>3</v>
      </c>
      <c r="E6" s="2">
        <v>2</v>
      </c>
      <c r="F6" s="2">
        <v>5</v>
      </c>
      <c r="G6" s="2">
        <v>11</v>
      </c>
      <c r="H6" s="2">
        <v>18</v>
      </c>
      <c r="I6" s="2">
        <v>-7</v>
      </c>
      <c r="J6" s="2">
        <v>11</v>
      </c>
      <c r="K6" s="22" t="str">
        <f t="shared" si="0"/>
        <v/>
      </c>
      <c r="L6" s="21">
        <f t="shared" si="1"/>
        <v>11</v>
      </c>
    </row>
    <row r="7" spans="1:12" x14ac:dyDescent="0.2">
      <c r="A7" s="3">
        <v>6</v>
      </c>
      <c r="B7" s="2" t="s">
        <v>173</v>
      </c>
      <c r="C7" s="2">
        <v>10</v>
      </c>
      <c r="D7" s="2">
        <v>0</v>
      </c>
      <c r="E7" s="2">
        <v>3</v>
      </c>
      <c r="F7" s="2">
        <v>7</v>
      </c>
      <c r="G7" s="2">
        <v>4</v>
      </c>
      <c r="H7" s="2">
        <v>23</v>
      </c>
      <c r="I7" s="2">
        <v>-19</v>
      </c>
      <c r="J7" s="2">
        <v>3</v>
      </c>
      <c r="K7" s="22" t="str">
        <f t="shared" si="0"/>
        <v>降决</v>
      </c>
      <c r="L7" s="21">
        <f t="shared" si="1"/>
        <v>3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L22"/>
  <sheetViews>
    <sheetView workbookViewId="0">
      <selection activeCell="O20" sqref="O20"/>
    </sheetView>
  </sheetViews>
  <sheetFormatPr baseColWidth="10" defaultColWidth="8.83203125" defaultRowHeight="15" x14ac:dyDescent="0.2"/>
  <cols>
    <col min="1" max="1" width="7.1640625" bestFit="1" customWidth="1"/>
    <col min="2" max="2" width="9.832031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57" t="s">
        <v>1</v>
      </c>
      <c r="B1" s="58" t="s">
        <v>0</v>
      </c>
      <c r="C1" s="58" t="s">
        <v>157</v>
      </c>
      <c r="D1" s="58" t="s">
        <v>158</v>
      </c>
      <c r="E1" s="55" t="s">
        <v>159</v>
      </c>
      <c r="F1" s="55" t="s">
        <v>160</v>
      </c>
      <c r="G1" s="55" t="s">
        <v>161</v>
      </c>
      <c r="H1" s="55" t="s">
        <v>162</v>
      </c>
      <c r="I1" s="59" t="s">
        <v>163</v>
      </c>
      <c r="J1" s="59" t="s">
        <v>164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204</v>
      </c>
      <c r="C2" s="2">
        <v>10</v>
      </c>
      <c r="D2" s="2">
        <v>8</v>
      </c>
      <c r="E2" s="2">
        <v>1</v>
      </c>
      <c r="F2" s="2">
        <v>1</v>
      </c>
      <c r="G2" s="2">
        <v>23</v>
      </c>
      <c r="H2" s="2">
        <v>8</v>
      </c>
      <c r="I2" s="2">
        <v>15</v>
      </c>
      <c r="J2" s="9">
        <v>25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25</v>
      </c>
    </row>
    <row r="3" spans="1:12" x14ac:dyDescent="0.2">
      <c r="A3" s="3">
        <v>2</v>
      </c>
      <c r="B3" s="2" t="s">
        <v>205</v>
      </c>
      <c r="C3" s="2">
        <v>10</v>
      </c>
      <c r="D3" s="2">
        <v>4</v>
      </c>
      <c r="E3" s="2">
        <v>4</v>
      </c>
      <c r="F3" s="2">
        <v>2</v>
      </c>
      <c r="G3" s="2">
        <v>21</v>
      </c>
      <c r="H3" s="2">
        <v>15</v>
      </c>
      <c r="I3" s="2">
        <v>6</v>
      </c>
      <c r="J3" s="2">
        <v>16</v>
      </c>
      <c r="K3" s="22" t="str">
        <f t="shared" si="0"/>
        <v>锁二</v>
      </c>
      <c r="L3" s="21">
        <f t="shared" ref="L3:L7" si="1">((COUNTA(A$2:A$15)-1)*2-C3)*3+J3</f>
        <v>16</v>
      </c>
    </row>
    <row r="4" spans="1:12" x14ac:dyDescent="0.2">
      <c r="A4" s="3">
        <v>3</v>
      </c>
      <c r="B4" s="2" t="s">
        <v>206</v>
      </c>
      <c r="C4" s="2">
        <v>10</v>
      </c>
      <c r="D4" s="2">
        <v>4</v>
      </c>
      <c r="E4" s="2">
        <v>2</v>
      </c>
      <c r="F4" s="2">
        <v>4</v>
      </c>
      <c r="G4" s="2">
        <v>14</v>
      </c>
      <c r="H4" s="2">
        <v>15</v>
      </c>
      <c r="I4" s="2">
        <v>-1</v>
      </c>
      <c r="J4" s="2">
        <v>14</v>
      </c>
      <c r="K4" s="22" t="str">
        <f t="shared" si="0"/>
        <v>锁三</v>
      </c>
      <c r="L4" s="21">
        <f t="shared" si="1"/>
        <v>14</v>
      </c>
    </row>
    <row r="5" spans="1:12" x14ac:dyDescent="0.2">
      <c r="A5" s="3">
        <v>4</v>
      </c>
      <c r="B5" s="2" t="s">
        <v>207</v>
      </c>
      <c r="C5" s="2">
        <v>10</v>
      </c>
      <c r="D5" s="2">
        <v>2</v>
      </c>
      <c r="E5" s="2">
        <v>5</v>
      </c>
      <c r="F5" s="2">
        <v>3</v>
      </c>
      <c r="G5" s="2">
        <v>12</v>
      </c>
      <c r="H5" s="2">
        <v>17</v>
      </c>
      <c r="I5" s="2">
        <v>-5</v>
      </c>
      <c r="J5" s="2">
        <v>11</v>
      </c>
      <c r="K5" s="22" t="str">
        <f t="shared" si="0"/>
        <v/>
      </c>
      <c r="L5" s="21">
        <f t="shared" si="1"/>
        <v>11</v>
      </c>
    </row>
    <row r="6" spans="1:12" x14ac:dyDescent="0.2">
      <c r="A6" s="3">
        <v>5</v>
      </c>
      <c r="B6" s="2" t="s">
        <v>208</v>
      </c>
      <c r="C6" s="2">
        <v>10</v>
      </c>
      <c r="D6" s="2">
        <v>2</v>
      </c>
      <c r="E6" s="2">
        <v>3</v>
      </c>
      <c r="F6" s="2">
        <v>5</v>
      </c>
      <c r="G6" s="2">
        <v>18</v>
      </c>
      <c r="H6" s="2">
        <v>22</v>
      </c>
      <c r="I6" s="2">
        <v>-4</v>
      </c>
      <c r="J6" s="2">
        <v>9</v>
      </c>
      <c r="K6" s="22" t="str">
        <f t="shared" si="0"/>
        <v/>
      </c>
      <c r="L6" s="21">
        <f t="shared" si="1"/>
        <v>9</v>
      </c>
    </row>
    <row r="7" spans="1:12" x14ac:dyDescent="0.2">
      <c r="A7" s="3">
        <v>6</v>
      </c>
      <c r="B7" s="2" t="s">
        <v>209</v>
      </c>
      <c r="C7" s="2">
        <v>10</v>
      </c>
      <c r="D7" s="2">
        <v>0</v>
      </c>
      <c r="E7" s="2">
        <v>5</v>
      </c>
      <c r="F7" s="2">
        <v>5</v>
      </c>
      <c r="G7" s="2">
        <v>9</v>
      </c>
      <c r="H7" s="2">
        <v>20</v>
      </c>
      <c r="I7" s="2">
        <v>-11</v>
      </c>
      <c r="J7" s="2">
        <v>5</v>
      </c>
      <c r="K7" s="22" t="str">
        <f t="shared" si="0"/>
        <v>降决</v>
      </c>
      <c r="L7" s="21">
        <f t="shared" si="1"/>
        <v>5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L22"/>
  <sheetViews>
    <sheetView workbookViewId="0">
      <selection activeCell="M23" sqref="M23"/>
    </sheetView>
  </sheetViews>
  <sheetFormatPr baseColWidth="10" defaultColWidth="8.83203125" defaultRowHeight="15" x14ac:dyDescent="0.2"/>
  <cols>
    <col min="1" max="1" width="7.1640625" bestFit="1" customWidth="1"/>
    <col min="2" max="2" width="9.832031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54" t="s">
        <v>1</v>
      </c>
      <c r="B1" s="55" t="s">
        <v>0</v>
      </c>
      <c r="C1" s="53" t="s">
        <v>157</v>
      </c>
      <c r="D1" s="53" t="s">
        <v>158</v>
      </c>
      <c r="E1" s="53" t="s">
        <v>159</v>
      </c>
      <c r="F1" s="53" t="s">
        <v>160</v>
      </c>
      <c r="G1" s="56" t="s">
        <v>165</v>
      </c>
      <c r="H1" s="56" t="s">
        <v>162</v>
      </c>
      <c r="I1" s="56" t="s">
        <v>166</v>
      </c>
      <c r="J1" s="56" t="s">
        <v>167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180</v>
      </c>
      <c r="C2" s="2">
        <v>10</v>
      </c>
      <c r="D2" s="2">
        <v>6</v>
      </c>
      <c r="E2" s="2">
        <v>3</v>
      </c>
      <c r="F2" s="2">
        <v>1</v>
      </c>
      <c r="G2" s="2">
        <v>17</v>
      </c>
      <c r="H2" s="2">
        <v>11</v>
      </c>
      <c r="I2" s="2">
        <v>6</v>
      </c>
      <c r="J2" s="9">
        <v>21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21</v>
      </c>
    </row>
    <row r="3" spans="1:12" x14ac:dyDescent="0.2">
      <c r="A3" s="3">
        <v>2</v>
      </c>
      <c r="B3" s="2" t="s">
        <v>181</v>
      </c>
      <c r="C3" s="2">
        <v>10</v>
      </c>
      <c r="D3" s="2">
        <v>5</v>
      </c>
      <c r="E3" s="2">
        <v>3</v>
      </c>
      <c r="F3" s="2">
        <v>2</v>
      </c>
      <c r="G3" s="2">
        <v>20</v>
      </c>
      <c r="H3" s="2">
        <v>12</v>
      </c>
      <c r="I3" s="2">
        <v>8</v>
      </c>
      <c r="J3" s="2">
        <v>18</v>
      </c>
      <c r="K3" s="22" t="str">
        <f t="shared" si="0"/>
        <v>锁二</v>
      </c>
      <c r="L3" s="21">
        <f t="shared" ref="L3:L7" si="1">((COUNTA(A$2:A$15)-1)*2-C3)*3+J3</f>
        <v>18</v>
      </c>
    </row>
    <row r="4" spans="1:12" x14ac:dyDescent="0.2">
      <c r="A4" s="3">
        <v>3</v>
      </c>
      <c r="B4" s="2" t="s">
        <v>182</v>
      </c>
      <c r="C4" s="2">
        <v>10</v>
      </c>
      <c r="D4" s="2">
        <v>4</v>
      </c>
      <c r="E4" s="2">
        <v>1</v>
      </c>
      <c r="F4" s="2">
        <v>5</v>
      </c>
      <c r="G4" s="2">
        <v>14</v>
      </c>
      <c r="H4" s="2">
        <v>16</v>
      </c>
      <c r="I4" s="2">
        <v>-2</v>
      </c>
      <c r="J4" s="2">
        <v>13</v>
      </c>
      <c r="K4" s="22" t="str">
        <f t="shared" si="0"/>
        <v/>
      </c>
      <c r="L4" s="21">
        <f t="shared" si="1"/>
        <v>13</v>
      </c>
    </row>
    <row r="5" spans="1:12" x14ac:dyDescent="0.2">
      <c r="A5" s="3">
        <v>4</v>
      </c>
      <c r="B5" s="2" t="s">
        <v>183</v>
      </c>
      <c r="C5" s="2">
        <v>10</v>
      </c>
      <c r="D5" s="2">
        <v>3</v>
      </c>
      <c r="E5" s="2">
        <v>4</v>
      </c>
      <c r="F5" s="2">
        <v>3</v>
      </c>
      <c r="G5" s="2">
        <v>11</v>
      </c>
      <c r="H5" s="2">
        <v>12</v>
      </c>
      <c r="I5" s="2">
        <v>-1</v>
      </c>
      <c r="J5" s="2">
        <v>13</v>
      </c>
      <c r="K5" s="22" t="str">
        <f t="shared" si="0"/>
        <v/>
      </c>
      <c r="L5" s="21">
        <f t="shared" si="1"/>
        <v>13</v>
      </c>
    </row>
    <row r="6" spans="1:12" x14ac:dyDescent="0.2">
      <c r="A6" s="3">
        <v>5</v>
      </c>
      <c r="B6" s="2" t="s">
        <v>184</v>
      </c>
      <c r="C6" s="2">
        <v>10</v>
      </c>
      <c r="D6" s="2">
        <v>2</v>
      </c>
      <c r="E6" s="2">
        <v>4</v>
      </c>
      <c r="F6" s="2">
        <v>4</v>
      </c>
      <c r="G6" s="2">
        <v>12</v>
      </c>
      <c r="H6" s="2">
        <v>14</v>
      </c>
      <c r="I6" s="2">
        <v>-2</v>
      </c>
      <c r="J6" s="2">
        <v>10</v>
      </c>
      <c r="K6" s="22" t="str">
        <f t="shared" si="0"/>
        <v/>
      </c>
      <c r="L6" s="21">
        <f t="shared" si="1"/>
        <v>10</v>
      </c>
    </row>
    <row r="7" spans="1:12" x14ac:dyDescent="0.2">
      <c r="A7" s="3">
        <v>6</v>
      </c>
      <c r="B7" s="2" t="s">
        <v>185</v>
      </c>
      <c r="C7" s="2">
        <v>10</v>
      </c>
      <c r="D7" s="2">
        <v>2</v>
      </c>
      <c r="E7" s="2">
        <v>1</v>
      </c>
      <c r="F7" s="2">
        <v>7</v>
      </c>
      <c r="G7" s="2">
        <v>10</v>
      </c>
      <c r="H7" s="2">
        <v>19</v>
      </c>
      <c r="I7" s="2">
        <v>-9</v>
      </c>
      <c r="J7" s="2">
        <v>7</v>
      </c>
      <c r="K7" s="22" t="str">
        <f t="shared" si="0"/>
        <v>降决</v>
      </c>
      <c r="L7" s="21">
        <f t="shared" si="1"/>
        <v>7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L22"/>
  <sheetViews>
    <sheetView workbookViewId="0">
      <selection activeCell="N29" sqref="N29"/>
    </sheetView>
  </sheetViews>
  <sheetFormatPr baseColWidth="10" defaultColWidth="8.83203125" defaultRowHeight="15" x14ac:dyDescent="0.2"/>
  <cols>
    <col min="1" max="1" width="7.1640625" bestFit="1" customWidth="1"/>
    <col min="2" max="2" width="12.16406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52" t="s">
        <v>1</v>
      </c>
      <c r="B1" s="55" t="s">
        <v>0</v>
      </c>
      <c r="C1" s="55" t="s">
        <v>157</v>
      </c>
      <c r="D1" s="55" t="s">
        <v>158</v>
      </c>
      <c r="E1" s="55" t="s">
        <v>159</v>
      </c>
      <c r="F1" s="53" t="s">
        <v>160</v>
      </c>
      <c r="G1" s="53" t="s">
        <v>161</v>
      </c>
      <c r="H1" s="53" t="s">
        <v>162</v>
      </c>
      <c r="I1" s="53" t="s">
        <v>163</v>
      </c>
      <c r="J1" s="53" t="s">
        <v>164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174</v>
      </c>
      <c r="C2" s="2">
        <v>10</v>
      </c>
      <c r="D2" s="2">
        <v>6</v>
      </c>
      <c r="E2" s="2">
        <v>2</v>
      </c>
      <c r="F2" s="2">
        <v>2</v>
      </c>
      <c r="G2" s="2">
        <v>18</v>
      </c>
      <c r="H2" s="2">
        <v>9</v>
      </c>
      <c r="I2" s="2">
        <v>9</v>
      </c>
      <c r="J2" s="9">
        <v>20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20</v>
      </c>
    </row>
    <row r="3" spans="1:12" x14ac:dyDescent="0.2">
      <c r="A3" s="3">
        <v>2</v>
      </c>
      <c r="B3" s="2" t="s">
        <v>175</v>
      </c>
      <c r="C3" s="2">
        <v>10</v>
      </c>
      <c r="D3" s="2">
        <v>6</v>
      </c>
      <c r="E3" s="2">
        <v>0</v>
      </c>
      <c r="F3" s="2">
        <v>4</v>
      </c>
      <c r="G3" s="2">
        <v>15</v>
      </c>
      <c r="H3" s="2">
        <v>16</v>
      </c>
      <c r="I3" s="2">
        <v>-1</v>
      </c>
      <c r="J3" s="2">
        <v>18</v>
      </c>
      <c r="K3" s="22" t="str">
        <f t="shared" si="0"/>
        <v>锁二</v>
      </c>
      <c r="L3" s="21">
        <f t="shared" ref="L3:L7" si="1">((COUNTA(A$2:A$15)-1)*2-C3)*3+J3</f>
        <v>18</v>
      </c>
    </row>
    <row r="4" spans="1:12" x14ac:dyDescent="0.2">
      <c r="A4" s="3">
        <v>3</v>
      </c>
      <c r="B4" s="2" t="s">
        <v>176</v>
      </c>
      <c r="C4" s="2">
        <v>10</v>
      </c>
      <c r="D4" s="2">
        <v>4</v>
      </c>
      <c r="E4" s="2">
        <v>3</v>
      </c>
      <c r="F4" s="2">
        <v>3</v>
      </c>
      <c r="G4" s="2">
        <v>17</v>
      </c>
      <c r="H4" s="2">
        <v>8</v>
      </c>
      <c r="I4" s="2">
        <v>9</v>
      </c>
      <c r="J4" s="2">
        <v>15</v>
      </c>
      <c r="K4" s="22" t="str">
        <f t="shared" si="0"/>
        <v>锁三</v>
      </c>
      <c r="L4" s="21">
        <f t="shared" si="1"/>
        <v>15</v>
      </c>
    </row>
    <row r="5" spans="1:12" x14ac:dyDescent="0.2">
      <c r="A5" s="3">
        <v>4</v>
      </c>
      <c r="B5" s="2" t="s">
        <v>177</v>
      </c>
      <c r="C5" s="2">
        <v>10</v>
      </c>
      <c r="D5" s="2">
        <v>4</v>
      </c>
      <c r="E5" s="2">
        <v>2</v>
      </c>
      <c r="F5" s="2">
        <v>4</v>
      </c>
      <c r="G5" s="2">
        <v>16</v>
      </c>
      <c r="H5" s="2">
        <v>14</v>
      </c>
      <c r="I5" s="2">
        <v>2</v>
      </c>
      <c r="J5" s="2">
        <v>14</v>
      </c>
      <c r="K5" s="22" t="str">
        <f t="shared" si="0"/>
        <v/>
      </c>
      <c r="L5" s="21">
        <f t="shared" si="1"/>
        <v>14</v>
      </c>
    </row>
    <row r="6" spans="1:12" x14ac:dyDescent="0.2">
      <c r="A6" s="3">
        <v>5</v>
      </c>
      <c r="B6" s="2" t="s">
        <v>178</v>
      </c>
      <c r="C6" s="2">
        <v>10</v>
      </c>
      <c r="D6" s="2">
        <v>4</v>
      </c>
      <c r="E6" s="2">
        <v>2</v>
      </c>
      <c r="F6" s="2">
        <v>4</v>
      </c>
      <c r="G6" s="2">
        <v>10</v>
      </c>
      <c r="H6" s="2">
        <v>13</v>
      </c>
      <c r="I6" s="2">
        <v>-3</v>
      </c>
      <c r="J6" s="2">
        <v>14</v>
      </c>
      <c r="K6" s="22" t="str">
        <f t="shared" si="0"/>
        <v/>
      </c>
      <c r="L6" s="21">
        <f t="shared" si="1"/>
        <v>14</v>
      </c>
    </row>
    <row r="7" spans="1:12" x14ac:dyDescent="0.2">
      <c r="A7" s="3">
        <v>6</v>
      </c>
      <c r="B7" s="2" t="s">
        <v>179</v>
      </c>
      <c r="C7" s="2">
        <v>10</v>
      </c>
      <c r="D7" s="2">
        <v>1</v>
      </c>
      <c r="E7" s="2">
        <v>1</v>
      </c>
      <c r="F7" s="2">
        <v>8</v>
      </c>
      <c r="G7" s="2">
        <v>6</v>
      </c>
      <c r="H7" s="2">
        <v>22</v>
      </c>
      <c r="I7" s="2">
        <v>-16</v>
      </c>
      <c r="J7" s="2">
        <v>4</v>
      </c>
      <c r="K7" s="22" t="str">
        <f t="shared" si="0"/>
        <v>降决</v>
      </c>
      <c r="L7" s="21">
        <f t="shared" si="1"/>
        <v>4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N30"/>
  <sheetViews>
    <sheetView zoomScale="150" workbookViewId="0">
      <selection activeCell="C14" sqref="C14"/>
    </sheetView>
  </sheetViews>
  <sheetFormatPr baseColWidth="10" defaultColWidth="8.83203125" defaultRowHeight="15" x14ac:dyDescent="0.2"/>
  <cols>
    <col min="1" max="1" width="7.1640625" bestFit="1" customWidth="1"/>
    <col min="2" max="2" width="15.1640625" bestFit="1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3" x14ac:dyDescent="0.2">
      <c r="A1" s="37" t="s">
        <v>1</v>
      </c>
      <c r="B1" s="38" t="s">
        <v>53</v>
      </c>
      <c r="C1" s="38" t="s">
        <v>54</v>
      </c>
      <c r="D1" s="38" t="s">
        <v>55</v>
      </c>
      <c r="E1" s="38" t="s">
        <v>18</v>
      </c>
      <c r="F1" s="38" t="s">
        <v>56</v>
      </c>
      <c r="G1" s="38" t="s">
        <v>57</v>
      </c>
      <c r="H1" s="38" t="s">
        <v>20</v>
      </c>
      <c r="I1" s="38" t="s">
        <v>58</v>
      </c>
      <c r="J1" s="38" t="s">
        <v>59</v>
      </c>
      <c r="K1" s="23">
        <v>0</v>
      </c>
      <c r="L1" s="20" t="s">
        <v>49</v>
      </c>
    </row>
    <row r="2" spans="1:13" x14ac:dyDescent="0.2">
      <c r="A2" s="3">
        <v>1</v>
      </c>
      <c r="B2" s="2" t="s">
        <v>221</v>
      </c>
      <c r="C2" s="2">
        <v>8</v>
      </c>
      <c r="D2" s="2">
        <v>6</v>
      </c>
      <c r="E2" s="2">
        <v>2</v>
      </c>
      <c r="F2" s="2">
        <v>0</v>
      </c>
      <c r="G2" s="2">
        <v>24</v>
      </c>
      <c r="H2" s="2">
        <v>9</v>
      </c>
      <c r="I2" s="2">
        <v>15</v>
      </c>
      <c r="J2" s="9">
        <v>20</v>
      </c>
      <c r="K2" s="22" t="str">
        <f t="shared" ref="K2:K11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1">
        <f>((COUNTA(A$2:A$15)-1-1)-C2)*3+J2</f>
        <v>20</v>
      </c>
      <c r="M2" s="1"/>
    </row>
    <row r="3" spans="1:13" x14ac:dyDescent="0.2">
      <c r="A3" s="3">
        <v>2</v>
      </c>
      <c r="B3" s="2" t="s">
        <v>107</v>
      </c>
      <c r="C3" s="2">
        <v>5</v>
      </c>
      <c r="D3" s="2">
        <v>3</v>
      </c>
      <c r="E3" s="2">
        <v>0</v>
      </c>
      <c r="F3" s="2">
        <v>2</v>
      </c>
      <c r="G3" s="2">
        <v>8</v>
      </c>
      <c r="H3" s="2">
        <v>6</v>
      </c>
      <c r="I3" s="2">
        <v>2</v>
      </c>
      <c r="J3" s="9">
        <v>9</v>
      </c>
      <c r="K3" s="22" t="str">
        <f t="shared" si="0"/>
        <v/>
      </c>
      <c r="L3" s="21">
        <f t="shared" ref="L3:L11" si="1">((COUNTA(A$2:A$15)-1-1)-C3)*3+J3</f>
        <v>18</v>
      </c>
    </row>
    <row r="4" spans="1:13" x14ac:dyDescent="0.2">
      <c r="A4" s="3">
        <v>3</v>
      </c>
      <c r="B4" s="2" t="s">
        <v>222</v>
      </c>
      <c r="C4" s="2">
        <v>4</v>
      </c>
      <c r="D4" s="2">
        <v>1</v>
      </c>
      <c r="E4" s="2">
        <v>3</v>
      </c>
      <c r="F4" s="2">
        <v>0</v>
      </c>
      <c r="G4" s="2">
        <v>6</v>
      </c>
      <c r="H4" s="2">
        <v>5</v>
      </c>
      <c r="I4" s="2">
        <v>1</v>
      </c>
      <c r="J4" s="9">
        <v>6</v>
      </c>
      <c r="K4" s="22" t="str">
        <f t="shared" si="0"/>
        <v/>
      </c>
      <c r="L4" s="21">
        <f t="shared" si="1"/>
        <v>18</v>
      </c>
    </row>
    <row r="5" spans="1:13" x14ac:dyDescent="0.2">
      <c r="A5" s="3">
        <v>4</v>
      </c>
      <c r="B5" s="2" t="s">
        <v>223</v>
      </c>
      <c r="C5" s="2">
        <v>6</v>
      </c>
      <c r="D5" s="2">
        <v>1</v>
      </c>
      <c r="E5" s="2">
        <v>2</v>
      </c>
      <c r="F5" s="2">
        <v>3</v>
      </c>
      <c r="G5" s="2">
        <v>5</v>
      </c>
      <c r="H5" s="2">
        <v>10</v>
      </c>
      <c r="I5" s="2">
        <v>-5</v>
      </c>
      <c r="J5" s="9">
        <v>5</v>
      </c>
      <c r="K5" s="22" t="str">
        <f t="shared" si="0"/>
        <v/>
      </c>
      <c r="L5" s="21">
        <f t="shared" si="1"/>
        <v>11</v>
      </c>
    </row>
    <row r="6" spans="1:13" x14ac:dyDescent="0.2">
      <c r="A6" s="3">
        <v>5</v>
      </c>
      <c r="B6" s="2" t="s">
        <v>97</v>
      </c>
      <c r="C6" s="2">
        <v>4</v>
      </c>
      <c r="D6" s="2">
        <v>1</v>
      </c>
      <c r="E6" s="2">
        <v>2</v>
      </c>
      <c r="F6" s="2">
        <v>1</v>
      </c>
      <c r="G6" s="2">
        <v>7</v>
      </c>
      <c r="H6" s="2">
        <v>8</v>
      </c>
      <c r="I6" s="2">
        <v>-1</v>
      </c>
      <c r="J6" s="9">
        <v>5</v>
      </c>
      <c r="K6" s="22" t="str">
        <f t="shared" si="0"/>
        <v/>
      </c>
      <c r="L6" s="21">
        <f t="shared" si="1"/>
        <v>17</v>
      </c>
    </row>
    <row r="7" spans="1:13" x14ac:dyDescent="0.2">
      <c r="A7" s="3">
        <v>6</v>
      </c>
      <c r="B7" s="2" t="s">
        <v>224</v>
      </c>
      <c r="C7" s="2">
        <v>4</v>
      </c>
      <c r="D7" s="2">
        <v>1</v>
      </c>
      <c r="E7" s="2">
        <v>2</v>
      </c>
      <c r="F7" s="2">
        <v>1</v>
      </c>
      <c r="G7" s="2">
        <v>6</v>
      </c>
      <c r="H7" s="2">
        <v>10</v>
      </c>
      <c r="I7" s="2">
        <v>-4</v>
      </c>
      <c r="J7" s="9">
        <v>5</v>
      </c>
      <c r="K7" s="22" t="str">
        <f t="shared" si="0"/>
        <v/>
      </c>
      <c r="L7" s="21">
        <f t="shared" si="1"/>
        <v>17</v>
      </c>
    </row>
    <row r="8" spans="1:13" x14ac:dyDescent="0.2">
      <c r="A8" s="3">
        <v>7</v>
      </c>
      <c r="B8" s="2" t="s">
        <v>225</v>
      </c>
      <c r="C8" s="2">
        <v>3</v>
      </c>
      <c r="D8" s="2">
        <v>0</v>
      </c>
      <c r="E8" s="2">
        <v>2</v>
      </c>
      <c r="F8" s="2">
        <v>1</v>
      </c>
      <c r="G8" s="2">
        <v>4</v>
      </c>
      <c r="H8" s="2">
        <v>5</v>
      </c>
      <c r="I8" s="2">
        <v>-1</v>
      </c>
      <c r="J8" s="9">
        <v>2</v>
      </c>
      <c r="K8" s="22" t="str">
        <f t="shared" si="0"/>
        <v/>
      </c>
      <c r="L8" s="21">
        <f t="shared" si="1"/>
        <v>17</v>
      </c>
    </row>
    <row r="9" spans="1:13" x14ac:dyDescent="0.2">
      <c r="A9" s="3">
        <v>8</v>
      </c>
      <c r="B9" s="2" t="s">
        <v>226</v>
      </c>
      <c r="C9" s="2">
        <v>1</v>
      </c>
      <c r="D9" s="2">
        <v>0</v>
      </c>
      <c r="E9" s="2">
        <v>1</v>
      </c>
      <c r="F9" s="2">
        <v>0</v>
      </c>
      <c r="G9" s="2">
        <v>2</v>
      </c>
      <c r="H9" s="2">
        <v>2</v>
      </c>
      <c r="I9" s="2">
        <v>0</v>
      </c>
      <c r="J9" s="9">
        <v>1</v>
      </c>
      <c r="K9" s="22" t="str">
        <f t="shared" si="0"/>
        <v/>
      </c>
      <c r="L9" s="21">
        <f t="shared" si="1"/>
        <v>22</v>
      </c>
    </row>
    <row r="10" spans="1:13" x14ac:dyDescent="0.2">
      <c r="A10" s="3">
        <v>9</v>
      </c>
      <c r="B10" s="2" t="s">
        <v>227</v>
      </c>
      <c r="C10" s="2">
        <v>1</v>
      </c>
      <c r="D10" s="2">
        <v>0</v>
      </c>
      <c r="E10" s="2">
        <v>1</v>
      </c>
      <c r="F10" s="2">
        <v>0</v>
      </c>
      <c r="G10" s="2">
        <v>1</v>
      </c>
      <c r="H10" s="2">
        <v>1</v>
      </c>
      <c r="I10" s="2">
        <v>0</v>
      </c>
      <c r="J10" s="9">
        <v>1</v>
      </c>
      <c r="K10" s="22" t="str">
        <f t="shared" si="0"/>
        <v/>
      </c>
      <c r="L10" s="21">
        <f t="shared" si="1"/>
        <v>22</v>
      </c>
    </row>
    <row r="11" spans="1:13" x14ac:dyDescent="0.2">
      <c r="A11" s="3">
        <v>10</v>
      </c>
      <c r="B11" s="2" t="s">
        <v>228</v>
      </c>
      <c r="C11" s="2">
        <v>6</v>
      </c>
      <c r="D11" s="2">
        <v>0</v>
      </c>
      <c r="E11" s="2">
        <v>1</v>
      </c>
      <c r="F11" s="2">
        <v>5</v>
      </c>
      <c r="G11" s="2">
        <v>4</v>
      </c>
      <c r="H11" s="2">
        <v>11</v>
      </c>
      <c r="I11" s="2">
        <v>-7</v>
      </c>
      <c r="J11" s="9">
        <v>1</v>
      </c>
      <c r="K11" s="22" t="str">
        <f t="shared" si="0"/>
        <v/>
      </c>
      <c r="L11" s="21">
        <f t="shared" si="1"/>
        <v>7</v>
      </c>
      <c r="M11" s="1"/>
    </row>
    <row r="12" spans="1:13" x14ac:dyDescent="0.2">
      <c r="A12" s="3"/>
      <c r="B12" s="2"/>
      <c r="C12" s="2"/>
      <c r="D12" s="2"/>
      <c r="E12" s="2"/>
      <c r="F12" s="2"/>
      <c r="G12" s="2"/>
      <c r="H12" s="2"/>
      <c r="I12" s="2"/>
      <c r="J12" s="9"/>
      <c r="L12" s="21"/>
    </row>
    <row r="13" spans="1:13" x14ac:dyDescent="0.2">
      <c r="A13" s="3"/>
      <c r="B13" s="2"/>
      <c r="C13" s="2"/>
      <c r="D13" s="2"/>
      <c r="E13" s="2"/>
      <c r="F13" s="2"/>
      <c r="G13" s="2"/>
      <c r="H13" s="2"/>
      <c r="I13" s="2"/>
      <c r="J13" s="9"/>
      <c r="L13" s="21"/>
    </row>
    <row r="17" spans="1:14" x14ac:dyDescent="0.2">
      <c r="M17" s="1"/>
      <c r="N17" s="9"/>
    </row>
    <row r="18" spans="1:14" x14ac:dyDescent="0.2">
      <c r="N18" s="9"/>
    </row>
    <row r="19" spans="1:14" x14ac:dyDescent="0.2">
      <c r="N19" s="9"/>
    </row>
    <row r="20" spans="1:14" x14ac:dyDescent="0.2">
      <c r="A20" s="6" t="s">
        <v>3</v>
      </c>
      <c r="B20">
        <v>0</v>
      </c>
      <c r="C20" s="1" t="s">
        <v>6</v>
      </c>
      <c r="N20" s="9"/>
    </row>
    <row r="21" spans="1:14" x14ac:dyDescent="0.2">
      <c r="A21" s="7" t="s">
        <v>4</v>
      </c>
      <c r="B21">
        <v>10</v>
      </c>
      <c r="C21" t="s">
        <v>7</v>
      </c>
      <c r="N21" s="9"/>
    </row>
    <row r="22" spans="1:14" x14ac:dyDescent="0.2">
      <c r="A22" s="7" t="s">
        <v>5</v>
      </c>
      <c r="B22">
        <v>2</v>
      </c>
      <c r="C22" t="s">
        <v>8</v>
      </c>
      <c r="N22" s="9"/>
    </row>
    <row r="23" spans="1:14" x14ac:dyDescent="0.2">
      <c r="N23" s="9"/>
    </row>
    <row r="24" spans="1:14" x14ac:dyDescent="0.2">
      <c r="N24" s="9"/>
    </row>
    <row r="25" spans="1:14" x14ac:dyDescent="0.2">
      <c r="N25" s="9"/>
    </row>
    <row r="26" spans="1:14" x14ac:dyDescent="0.2">
      <c r="M26" s="1"/>
      <c r="N26" s="9"/>
    </row>
    <row r="27" spans="1:14" x14ac:dyDescent="0.2">
      <c r="N27" s="9"/>
    </row>
    <row r="28" spans="1:14" x14ac:dyDescent="0.2">
      <c r="N28" s="9"/>
    </row>
    <row r="30" spans="1:14" x14ac:dyDescent="0.2">
      <c r="M30" s="1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54"/>
  <sheetViews>
    <sheetView topLeftCell="A16" workbookViewId="0">
      <selection activeCell="F39" sqref="F39"/>
    </sheetView>
  </sheetViews>
  <sheetFormatPr baseColWidth="10" defaultColWidth="8.83203125" defaultRowHeight="15" x14ac:dyDescent="0.2"/>
  <cols>
    <col min="1" max="2" width="15.1640625" bestFit="1" customWidth="1"/>
    <col min="3" max="4" width="2.5" style="45" bestFit="1" customWidth="1"/>
    <col min="6" max="6" width="3.6640625" style="31" customWidth="1"/>
    <col min="7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44" t="s">
        <v>2</v>
      </c>
      <c r="D1" s="44"/>
      <c r="E1" s="33" t="s">
        <v>45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129</v>
      </c>
      <c r="B2" t="s">
        <v>12</v>
      </c>
      <c r="C2" s="45">
        <v>3</v>
      </c>
      <c r="D2" s="45">
        <v>2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ca="1">F2&amp;G2</f>
        <v/>
      </c>
    </row>
    <row r="3" spans="1:8" x14ac:dyDescent="0.2">
      <c r="A3" t="s">
        <v>25</v>
      </c>
      <c r="B3" t="s">
        <v>130</v>
      </c>
      <c r="C3" s="45">
        <v>1</v>
      </c>
      <c r="D3" s="45">
        <v>0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ref="H3:H40" ca="1" si="0">F3&amp;G3</f>
        <v/>
      </c>
    </row>
    <row r="4" spans="1:8" x14ac:dyDescent="0.2">
      <c r="A4" t="s">
        <v>26</v>
      </c>
      <c r="B4" t="s">
        <v>131</v>
      </c>
      <c r="C4" s="45">
        <v>1</v>
      </c>
      <c r="D4" s="45">
        <v>0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129</v>
      </c>
      <c r="B6" t="s">
        <v>130</v>
      </c>
      <c r="C6" s="45">
        <v>2</v>
      </c>
      <c r="D6" s="45">
        <v>1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12</v>
      </c>
      <c r="B7" t="s">
        <v>131</v>
      </c>
      <c r="C7" s="45">
        <v>2</v>
      </c>
      <c r="D7" s="45">
        <v>1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25</v>
      </c>
      <c r="B8" t="s">
        <v>26</v>
      </c>
      <c r="C8" s="45">
        <v>1</v>
      </c>
      <c r="D8" s="45">
        <v>3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129</v>
      </c>
      <c r="B10" t="s">
        <v>131</v>
      </c>
      <c r="C10" s="45">
        <v>1</v>
      </c>
      <c r="D10" s="45">
        <v>0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130</v>
      </c>
      <c r="B11" t="s">
        <v>26</v>
      </c>
      <c r="C11" s="45">
        <v>0</v>
      </c>
      <c r="D11" s="45">
        <v>3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12</v>
      </c>
      <c r="B12" t="s">
        <v>25</v>
      </c>
      <c r="C12" s="45">
        <v>3</v>
      </c>
      <c r="D12" s="45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129</v>
      </c>
      <c r="B14" t="s">
        <v>26</v>
      </c>
      <c r="C14" s="45">
        <v>2</v>
      </c>
      <c r="D14" s="45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131</v>
      </c>
      <c r="B15" t="s">
        <v>25</v>
      </c>
      <c r="C15" s="45">
        <v>3</v>
      </c>
      <c r="D15" s="45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130</v>
      </c>
      <c r="B16" t="s">
        <v>12</v>
      </c>
      <c r="C16" s="45">
        <v>2</v>
      </c>
      <c r="D16" s="45">
        <v>2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129</v>
      </c>
      <c r="B18" t="s">
        <v>25</v>
      </c>
      <c r="C18" s="45">
        <v>0</v>
      </c>
      <c r="D18" s="45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26</v>
      </c>
      <c r="B19" t="s">
        <v>12</v>
      </c>
      <c r="C19" s="45">
        <v>2</v>
      </c>
      <c r="D19" s="45">
        <v>3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131</v>
      </c>
      <c r="B20" t="s">
        <v>130</v>
      </c>
      <c r="C20" s="45">
        <v>2</v>
      </c>
      <c r="D20" s="45">
        <v>0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12</v>
      </c>
      <c r="B22" t="s">
        <v>129</v>
      </c>
      <c r="C22" s="45">
        <v>1</v>
      </c>
      <c r="D22" s="45">
        <v>3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130</v>
      </c>
      <c r="B23" t="s">
        <v>25</v>
      </c>
      <c r="C23" s="45">
        <v>3</v>
      </c>
      <c r="D23" s="45">
        <v>0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131</v>
      </c>
      <c r="B24" t="s">
        <v>26</v>
      </c>
      <c r="C24" s="45">
        <v>1</v>
      </c>
      <c r="D24" s="45">
        <v>4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130</v>
      </c>
      <c r="B26" t="s">
        <v>129</v>
      </c>
      <c r="C26" s="45">
        <v>2</v>
      </c>
      <c r="D26" s="45">
        <v>2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131</v>
      </c>
      <c r="B27" t="s">
        <v>12</v>
      </c>
      <c r="C27" s="45">
        <v>1</v>
      </c>
      <c r="D27" s="45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26</v>
      </c>
      <c r="B28" t="s">
        <v>25</v>
      </c>
      <c r="C28" s="45">
        <v>2</v>
      </c>
      <c r="D28" s="45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131</v>
      </c>
      <c r="B30" t="s">
        <v>129</v>
      </c>
      <c r="C30" s="45">
        <v>0</v>
      </c>
      <c r="D30" s="45">
        <v>1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26</v>
      </c>
      <c r="B31" t="s">
        <v>130</v>
      </c>
      <c r="C31" s="45">
        <v>0</v>
      </c>
      <c r="D31" s="45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25</v>
      </c>
      <c r="B32" t="s">
        <v>12</v>
      </c>
      <c r="C32" s="45">
        <v>0</v>
      </c>
      <c r="D32" s="45">
        <v>2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26</v>
      </c>
      <c r="B34" t="s">
        <v>129</v>
      </c>
      <c r="C34" s="45">
        <v>3</v>
      </c>
      <c r="D34" s="45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25</v>
      </c>
      <c r="B35" t="s">
        <v>131</v>
      </c>
      <c r="C35" s="45">
        <v>0</v>
      </c>
      <c r="D35" s="45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12</v>
      </c>
      <c r="B36" t="s">
        <v>130</v>
      </c>
      <c r="C36" s="51">
        <v>2</v>
      </c>
      <c r="D36" s="51">
        <v>0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51"/>
      <c r="D37" s="51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25</v>
      </c>
      <c r="B38" t="s">
        <v>129</v>
      </c>
      <c r="C38" s="51">
        <v>0</v>
      </c>
      <c r="D38" s="51">
        <v>2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12</v>
      </c>
      <c r="B39" t="s">
        <v>26</v>
      </c>
      <c r="C39" s="51">
        <v>2</v>
      </c>
      <c r="D39" s="51">
        <v>1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130</v>
      </c>
      <c r="B40" t="s">
        <v>131</v>
      </c>
      <c r="C40" s="51">
        <v>1</v>
      </c>
      <c r="D40" s="51">
        <v>0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ref="H41:H54" si="1">F41&amp;G41</f>
        <v/>
      </c>
    </row>
    <row r="42" spans="1:8" x14ac:dyDescent="0.2">
      <c r="H42" s="31" t="str">
        <f t="shared" si="1"/>
        <v/>
      </c>
    </row>
    <row r="43" spans="1:8" x14ac:dyDescent="0.2">
      <c r="H43" s="31" t="str">
        <f t="shared" si="1"/>
        <v/>
      </c>
    </row>
    <row r="44" spans="1:8" x14ac:dyDescent="0.2">
      <c r="H44" s="31" t="str">
        <f t="shared" si="1"/>
        <v/>
      </c>
    </row>
    <row r="45" spans="1:8" x14ac:dyDescent="0.2">
      <c r="H45" s="31" t="str">
        <f t="shared" si="1"/>
        <v/>
      </c>
    </row>
    <row r="46" spans="1:8" x14ac:dyDescent="0.2">
      <c r="H46" s="31" t="str">
        <f t="shared" si="1"/>
        <v/>
      </c>
    </row>
    <row r="47" spans="1:8" x14ac:dyDescent="0.2">
      <c r="H47" s="31" t="str">
        <f t="shared" si="1"/>
        <v/>
      </c>
    </row>
    <row r="48" spans="1:8" x14ac:dyDescent="0.2">
      <c r="H48" s="31" t="str">
        <f t="shared" si="1"/>
        <v/>
      </c>
    </row>
    <row r="49" spans="8:8" x14ac:dyDescent="0.2">
      <c r="H49" s="31" t="str">
        <f t="shared" si="1"/>
        <v/>
      </c>
    </row>
    <row r="50" spans="8:8" x14ac:dyDescent="0.2">
      <c r="H50" s="31" t="str">
        <f t="shared" si="1"/>
        <v/>
      </c>
    </row>
    <row r="51" spans="8:8" x14ac:dyDescent="0.2">
      <c r="H51" s="31" t="str">
        <f t="shared" si="1"/>
        <v/>
      </c>
    </row>
    <row r="52" spans="8:8" x14ac:dyDescent="0.2">
      <c r="H52" s="31" t="str">
        <f t="shared" si="1"/>
        <v/>
      </c>
    </row>
    <row r="53" spans="8:8" x14ac:dyDescent="0.2">
      <c r="H53" s="31" t="str">
        <f t="shared" si="1"/>
        <v/>
      </c>
    </row>
    <row r="54" spans="8:8" x14ac:dyDescent="0.2">
      <c r="H54" s="3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40"/>
  <sheetViews>
    <sheetView topLeftCell="A19" workbookViewId="0">
      <selection activeCell="E27" sqref="E27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6640625" style="31" customWidth="1"/>
    <col min="8" max="8" width="3.33203125" style="31" bestFit="1" customWidth="1"/>
  </cols>
  <sheetData>
    <row r="1" spans="1:8" x14ac:dyDescent="0.2">
      <c r="A1" s="4" t="s">
        <v>9</v>
      </c>
      <c r="C1" s="5" t="s">
        <v>2</v>
      </c>
      <c r="D1" s="5"/>
      <c r="E1" s="34" t="s">
        <v>46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132</v>
      </c>
      <c r="B2" t="s">
        <v>133</v>
      </c>
      <c r="C2">
        <v>2</v>
      </c>
      <c r="D2">
        <v>3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 x14ac:dyDescent="0.2">
      <c r="A3" t="s">
        <v>31</v>
      </c>
      <c r="B3" t="s">
        <v>134</v>
      </c>
      <c r="C3">
        <v>1</v>
      </c>
      <c r="D3">
        <v>2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61</v>
      </c>
      <c r="B4" t="s">
        <v>135</v>
      </c>
      <c r="C4">
        <v>0</v>
      </c>
      <c r="D4">
        <v>2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132</v>
      </c>
      <c r="B6" t="s">
        <v>134</v>
      </c>
      <c r="C6">
        <v>2</v>
      </c>
      <c r="D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133</v>
      </c>
      <c r="B7" t="s">
        <v>135</v>
      </c>
      <c r="C7">
        <v>1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31</v>
      </c>
      <c r="B8" t="s">
        <v>61</v>
      </c>
      <c r="C8">
        <v>3</v>
      </c>
      <c r="D8">
        <v>0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132</v>
      </c>
      <c r="B10" t="s">
        <v>135</v>
      </c>
      <c r="C10">
        <v>2</v>
      </c>
      <c r="D10">
        <v>1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134</v>
      </c>
      <c r="B11" t="s">
        <v>61</v>
      </c>
      <c r="C11">
        <v>2</v>
      </c>
      <c r="D11">
        <v>2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133</v>
      </c>
      <c r="B12" t="s">
        <v>31</v>
      </c>
      <c r="C12">
        <v>0</v>
      </c>
      <c r="D12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132</v>
      </c>
      <c r="B14" t="s">
        <v>61</v>
      </c>
      <c r="C14">
        <v>1</v>
      </c>
      <c r="D14">
        <v>0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135</v>
      </c>
      <c r="B15" t="s">
        <v>31</v>
      </c>
      <c r="C15">
        <v>2</v>
      </c>
      <c r="D15">
        <v>2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134</v>
      </c>
      <c r="B16" t="s">
        <v>133</v>
      </c>
      <c r="C16">
        <v>0</v>
      </c>
      <c r="D1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132</v>
      </c>
      <c r="B18" t="s">
        <v>31</v>
      </c>
      <c r="C18">
        <v>2</v>
      </c>
      <c r="D18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61</v>
      </c>
      <c r="B19" t="s">
        <v>133</v>
      </c>
      <c r="C19">
        <v>2</v>
      </c>
      <c r="D19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135</v>
      </c>
      <c r="B20" t="s">
        <v>134</v>
      </c>
      <c r="C20">
        <v>1</v>
      </c>
      <c r="D20">
        <v>0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133</v>
      </c>
      <c r="B22" t="s">
        <v>132</v>
      </c>
      <c r="C22">
        <v>0</v>
      </c>
      <c r="D22">
        <v>3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134</v>
      </c>
      <c r="B23" t="s">
        <v>31</v>
      </c>
      <c r="C23">
        <v>2</v>
      </c>
      <c r="D23">
        <v>2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135</v>
      </c>
      <c r="B24" t="s">
        <v>61</v>
      </c>
      <c r="C24">
        <v>3</v>
      </c>
      <c r="D24">
        <v>1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134</v>
      </c>
      <c r="B26" t="s">
        <v>132</v>
      </c>
      <c r="C26">
        <v>0</v>
      </c>
      <c r="D26">
        <v>3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135</v>
      </c>
      <c r="B27" t="s">
        <v>133</v>
      </c>
      <c r="C27">
        <v>3</v>
      </c>
      <c r="D27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61</v>
      </c>
      <c r="B28" t="s">
        <v>31</v>
      </c>
      <c r="C28">
        <v>3</v>
      </c>
      <c r="D28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135</v>
      </c>
      <c r="B30" t="s">
        <v>132</v>
      </c>
      <c r="C30">
        <v>3</v>
      </c>
      <c r="D30">
        <v>2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61</v>
      </c>
      <c r="B31" t="s">
        <v>134</v>
      </c>
      <c r="C31">
        <v>0</v>
      </c>
      <c r="D31">
        <v>3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31</v>
      </c>
      <c r="B32" t="s">
        <v>133</v>
      </c>
      <c r="C32">
        <v>1</v>
      </c>
      <c r="D32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61</v>
      </c>
      <c r="B34" t="s">
        <v>132</v>
      </c>
      <c r="C34">
        <v>1</v>
      </c>
      <c r="D34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31</v>
      </c>
      <c r="B35" t="s">
        <v>135</v>
      </c>
      <c r="C35">
        <v>0</v>
      </c>
      <c r="D35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133</v>
      </c>
      <c r="B36" t="s">
        <v>134</v>
      </c>
      <c r="C36">
        <v>2</v>
      </c>
      <c r="D3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31</v>
      </c>
      <c r="B38" t="s">
        <v>132</v>
      </c>
      <c r="C38">
        <v>1</v>
      </c>
      <c r="D38">
        <v>2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133</v>
      </c>
      <c r="B39" t="s">
        <v>61</v>
      </c>
      <c r="C39">
        <v>0</v>
      </c>
      <c r="D39">
        <v>1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134</v>
      </c>
      <c r="B40" t="s">
        <v>135</v>
      </c>
      <c r="C40">
        <v>3</v>
      </c>
      <c r="D40">
        <v>0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93"/>
  <sheetViews>
    <sheetView topLeftCell="A13" workbookViewId="0">
      <selection activeCell="E25" sqref="E25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47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136</v>
      </c>
      <c r="B2" t="s">
        <v>62</v>
      </c>
      <c r="C2">
        <v>1</v>
      </c>
      <c r="D2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 x14ac:dyDescent="0.2">
      <c r="A3" t="s">
        <v>33</v>
      </c>
      <c r="B3" t="s">
        <v>137</v>
      </c>
      <c r="C3">
        <v>4</v>
      </c>
      <c r="D3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32</v>
      </c>
      <c r="B4" t="s">
        <v>138</v>
      </c>
      <c r="C4">
        <v>0</v>
      </c>
      <c r="D4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136</v>
      </c>
      <c r="B6" t="s">
        <v>137</v>
      </c>
      <c r="C6">
        <v>2</v>
      </c>
      <c r="D6">
        <v>3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62</v>
      </c>
      <c r="B7" t="s">
        <v>138</v>
      </c>
      <c r="C7">
        <v>2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33</v>
      </c>
      <c r="B8" t="s">
        <v>32</v>
      </c>
      <c r="C8">
        <v>3</v>
      </c>
      <c r="D8">
        <v>0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136</v>
      </c>
      <c r="B10" t="s">
        <v>138</v>
      </c>
      <c r="C10">
        <v>1</v>
      </c>
      <c r="D10">
        <v>2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137</v>
      </c>
      <c r="B11" t="s">
        <v>32</v>
      </c>
      <c r="C11">
        <v>0</v>
      </c>
      <c r="D11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62</v>
      </c>
      <c r="B12" t="s">
        <v>33</v>
      </c>
      <c r="C12">
        <v>1</v>
      </c>
      <c r="D12">
        <v>0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136</v>
      </c>
      <c r="B14" t="s">
        <v>32</v>
      </c>
      <c r="C14">
        <v>1</v>
      </c>
      <c r="D14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138</v>
      </c>
      <c r="B15" t="s">
        <v>33</v>
      </c>
      <c r="C15">
        <v>2</v>
      </c>
      <c r="D15">
        <v>3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137</v>
      </c>
      <c r="B16" t="s">
        <v>62</v>
      </c>
      <c r="C16">
        <v>1</v>
      </c>
      <c r="D16">
        <v>3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136</v>
      </c>
      <c r="B18" t="s">
        <v>33</v>
      </c>
      <c r="C18">
        <v>0</v>
      </c>
      <c r="D18">
        <v>3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32</v>
      </c>
      <c r="B19" t="s">
        <v>62</v>
      </c>
      <c r="C19">
        <v>2</v>
      </c>
      <c r="D19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138</v>
      </c>
      <c r="B20" t="s">
        <v>137</v>
      </c>
      <c r="C20">
        <v>3</v>
      </c>
      <c r="D20">
        <v>2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62</v>
      </c>
      <c r="B22" t="s">
        <v>136</v>
      </c>
      <c r="C22">
        <v>2</v>
      </c>
      <c r="D22">
        <v>1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137</v>
      </c>
      <c r="B23" t="s">
        <v>33</v>
      </c>
      <c r="C23">
        <v>1</v>
      </c>
      <c r="D23">
        <v>1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138</v>
      </c>
      <c r="B24" t="s">
        <v>32</v>
      </c>
      <c r="C24">
        <v>1</v>
      </c>
      <c r="D24">
        <v>0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137</v>
      </c>
      <c r="B26" t="s">
        <v>136</v>
      </c>
      <c r="C26">
        <v>2</v>
      </c>
      <c r="D26">
        <v>1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138</v>
      </c>
      <c r="B27" t="s">
        <v>62</v>
      </c>
      <c r="C27">
        <v>2</v>
      </c>
      <c r="D27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32</v>
      </c>
      <c r="B28" t="s">
        <v>33</v>
      </c>
      <c r="C28">
        <v>0</v>
      </c>
      <c r="D28">
        <v>2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138</v>
      </c>
      <c r="B30" t="s">
        <v>136</v>
      </c>
      <c r="C30">
        <v>1</v>
      </c>
      <c r="D30">
        <v>1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32</v>
      </c>
      <c r="B31" t="s">
        <v>137</v>
      </c>
      <c r="C31">
        <v>0</v>
      </c>
      <c r="D31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33</v>
      </c>
      <c r="B32" t="s">
        <v>62</v>
      </c>
      <c r="C32">
        <v>1</v>
      </c>
      <c r="D32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32</v>
      </c>
      <c r="B34" t="s">
        <v>136</v>
      </c>
      <c r="C34">
        <v>1</v>
      </c>
      <c r="D34">
        <v>1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33</v>
      </c>
      <c r="B35" t="s">
        <v>138</v>
      </c>
      <c r="C35">
        <v>0</v>
      </c>
      <c r="D35">
        <v>2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62</v>
      </c>
      <c r="B36" t="s">
        <v>137</v>
      </c>
      <c r="C36">
        <v>1</v>
      </c>
      <c r="D3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33</v>
      </c>
      <c r="B38" t="s">
        <v>136</v>
      </c>
      <c r="C38">
        <v>1</v>
      </c>
      <c r="D38">
        <v>3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62</v>
      </c>
      <c r="B39" t="s">
        <v>32</v>
      </c>
      <c r="C39">
        <v>0</v>
      </c>
      <c r="D39">
        <v>0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137</v>
      </c>
      <c r="B40" t="s">
        <v>138</v>
      </c>
      <c r="C40">
        <v>2</v>
      </c>
      <c r="D40">
        <v>3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89" spans="8:8" x14ac:dyDescent="0.2">
      <c r="H89" s="31" t="str">
        <f t="shared" ref="H89:H93" si="1">F89&amp;G89</f>
        <v/>
      </c>
    </row>
    <row r="90" spans="8:8" x14ac:dyDescent="0.2">
      <c r="H90" s="31" t="str">
        <f t="shared" si="1"/>
        <v/>
      </c>
    </row>
    <row r="91" spans="8:8" x14ac:dyDescent="0.2">
      <c r="H91" s="31" t="str">
        <f t="shared" si="1"/>
        <v/>
      </c>
    </row>
    <row r="92" spans="8:8" x14ac:dyDescent="0.2">
      <c r="H92" s="31" t="str">
        <f t="shared" si="1"/>
        <v/>
      </c>
    </row>
    <row r="93" spans="8:8" x14ac:dyDescent="0.2">
      <c r="H93" s="3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59"/>
  <sheetViews>
    <sheetView topLeftCell="A16" workbookViewId="0">
      <selection activeCell="L35" sqref="L35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52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70</v>
      </c>
      <c r="B2" t="s">
        <v>139</v>
      </c>
      <c r="C2" s="46">
        <v>0</v>
      </c>
      <c r="D2" s="46">
        <v>0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 x14ac:dyDescent="0.2">
      <c r="A3" t="s">
        <v>69</v>
      </c>
      <c r="B3" t="s">
        <v>71</v>
      </c>
      <c r="C3" s="46">
        <v>2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68</v>
      </c>
      <c r="B4" t="s">
        <v>60</v>
      </c>
      <c r="C4" s="46">
        <v>3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70</v>
      </c>
      <c r="B6" t="s">
        <v>71</v>
      </c>
      <c r="C6" s="46">
        <v>0</v>
      </c>
      <c r="D6" s="46">
        <v>0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139</v>
      </c>
      <c r="B7" t="s">
        <v>60</v>
      </c>
      <c r="C7" s="46">
        <v>3</v>
      </c>
      <c r="D7" s="46">
        <v>1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69</v>
      </c>
      <c r="B8" t="s">
        <v>68</v>
      </c>
      <c r="C8" s="46">
        <v>3</v>
      </c>
      <c r="D8" s="46">
        <v>2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70</v>
      </c>
      <c r="B10" t="s">
        <v>60</v>
      </c>
      <c r="C10" s="46">
        <v>0</v>
      </c>
      <c r="D10" s="46">
        <v>1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71</v>
      </c>
      <c r="B11" t="s">
        <v>68</v>
      </c>
      <c r="C11" s="46">
        <v>1</v>
      </c>
      <c r="D11" s="46">
        <v>4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139</v>
      </c>
      <c r="B12" t="s">
        <v>69</v>
      </c>
      <c r="C12" s="46">
        <v>2</v>
      </c>
      <c r="D12" s="46">
        <v>1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70</v>
      </c>
      <c r="B14" t="s">
        <v>68</v>
      </c>
      <c r="C14" s="46">
        <v>2</v>
      </c>
      <c r="D14" s="46">
        <v>1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60</v>
      </c>
      <c r="B15" t="s">
        <v>69</v>
      </c>
      <c r="C15" s="46">
        <v>2</v>
      </c>
      <c r="D15" s="46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71</v>
      </c>
      <c r="B16" t="s">
        <v>139</v>
      </c>
      <c r="C16" s="46">
        <v>0</v>
      </c>
      <c r="D16" s="46">
        <v>3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70</v>
      </c>
      <c r="B18" t="s">
        <v>69</v>
      </c>
      <c r="C18" s="46">
        <v>1</v>
      </c>
      <c r="D18" s="46">
        <v>0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68</v>
      </c>
      <c r="B19" t="s">
        <v>139</v>
      </c>
      <c r="C19" s="46">
        <v>4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60</v>
      </c>
      <c r="B20" t="s">
        <v>71</v>
      </c>
      <c r="C20" s="46">
        <v>1</v>
      </c>
      <c r="D20" s="46">
        <v>1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139</v>
      </c>
      <c r="B22" t="s">
        <v>70</v>
      </c>
      <c r="C22" s="46">
        <v>1</v>
      </c>
      <c r="D22" s="46">
        <v>0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71</v>
      </c>
      <c r="B23" t="s">
        <v>69</v>
      </c>
      <c r="C23" s="46">
        <v>0</v>
      </c>
      <c r="D23" s="46">
        <v>2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60</v>
      </c>
      <c r="B24" t="s">
        <v>68</v>
      </c>
      <c r="C24" s="46">
        <v>1</v>
      </c>
      <c r="D24" s="46">
        <v>3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71</v>
      </c>
      <c r="B26" t="s">
        <v>70</v>
      </c>
      <c r="C26" s="46">
        <v>0</v>
      </c>
      <c r="D26" s="46">
        <v>3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60</v>
      </c>
      <c r="B27" t="s">
        <v>139</v>
      </c>
      <c r="C27" s="46">
        <v>0</v>
      </c>
      <c r="D27" s="46">
        <v>3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68</v>
      </c>
      <c r="B28" t="s">
        <v>69</v>
      </c>
      <c r="C28" s="46">
        <v>3</v>
      </c>
      <c r="D28" s="46">
        <v>2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60</v>
      </c>
      <c r="B30" t="s">
        <v>70</v>
      </c>
      <c r="C30" s="46">
        <v>2</v>
      </c>
      <c r="D30" s="46">
        <v>1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68</v>
      </c>
      <c r="B31" t="s">
        <v>71</v>
      </c>
      <c r="C31" s="46">
        <v>5</v>
      </c>
      <c r="D31" s="46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69</v>
      </c>
      <c r="B32" t="s">
        <v>139</v>
      </c>
      <c r="C32" s="46">
        <v>0</v>
      </c>
      <c r="D32" s="46">
        <v>2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68</v>
      </c>
      <c r="B34" t="s">
        <v>70</v>
      </c>
      <c r="C34" s="46">
        <v>5</v>
      </c>
      <c r="D34" s="46">
        <v>0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69</v>
      </c>
      <c r="B35" t="s">
        <v>60</v>
      </c>
      <c r="C35" s="46">
        <v>3</v>
      </c>
      <c r="D35" s="46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139</v>
      </c>
      <c r="B36" t="s">
        <v>71</v>
      </c>
      <c r="C36" s="46">
        <v>2</v>
      </c>
      <c r="D36" s="46">
        <v>0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69</v>
      </c>
      <c r="B38" t="s">
        <v>70</v>
      </c>
      <c r="C38" s="46">
        <v>0</v>
      </c>
      <c r="D38" s="46">
        <v>2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139</v>
      </c>
      <c r="B39" t="s">
        <v>68</v>
      </c>
      <c r="C39" s="46">
        <v>1</v>
      </c>
      <c r="D39" s="46">
        <v>2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71</v>
      </c>
      <c r="B40" t="s">
        <v>60</v>
      </c>
      <c r="C40" s="46">
        <v>1</v>
      </c>
      <c r="D40" s="46">
        <v>1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ref="H41:H59" si="1">F41&amp;G41</f>
        <v/>
      </c>
    </row>
    <row r="42" spans="1:8" x14ac:dyDescent="0.2">
      <c r="H42" s="31" t="str">
        <f t="shared" si="1"/>
        <v/>
      </c>
    </row>
    <row r="43" spans="1:8" x14ac:dyDescent="0.2">
      <c r="H43" s="31" t="str">
        <f t="shared" si="1"/>
        <v/>
      </c>
    </row>
    <row r="44" spans="1:8" x14ac:dyDescent="0.2">
      <c r="H44" s="31" t="str">
        <f t="shared" si="1"/>
        <v/>
      </c>
    </row>
    <row r="45" spans="1:8" x14ac:dyDescent="0.2">
      <c r="H45" s="31" t="str">
        <f t="shared" si="1"/>
        <v/>
      </c>
    </row>
    <row r="46" spans="1:8" x14ac:dyDescent="0.2">
      <c r="H46" s="31" t="str">
        <f t="shared" si="1"/>
        <v/>
      </c>
    </row>
    <row r="47" spans="1:8" x14ac:dyDescent="0.2">
      <c r="H47" s="31" t="str">
        <f t="shared" si="1"/>
        <v/>
      </c>
    </row>
    <row r="48" spans="1:8" x14ac:dyDescent="0.2">
      <c r="H48" s="31" t="str">
        <f t="shared" si="1"/>
        <v/>
      </c>
    </row>
    <row r="49" spans="8:8" x14ac:dyDescent="0.2">
      <c r="H49" s="31" t="str">
        <f t="shared" si="1"/>
        <v/>
      </c>
    </row>
    <row r="50" spans="8:8" x14ac:dyDescent="0.2">
      <c r="H50" s="31" t="str">
        <f t="shared" si="1"/>
        <v/>
      </c>
    </row>
    <row r="51" spans="8:8" x14ac:dyDescent="0.2">
      <c r="H51" s="31" t="str">
        <f t="shared" si="1"/>
        <v/>
      </c>
    </row>
    <row r="52" spans="8:8" x14ac:dyDescent="0.2">
      <c r="H52" s="31" t="str">
        <f t="shared" si="1"/>
        <v/>
      </c>
    </row>
    <row r="53" spans="8:8" x14ac:dyDescent="0.2">
      <c r="H53" s="31" t="str">
        <f t="shared" si="1"/>
        <v/>
      </c>
    </row>
    <row r="54" spans="8:8" x14ac:dyDescent="0.2">
      <c r="H54" s="31" t="str">
        <f t="shared" si="1"/>
        <v/>
      </c>
    </row>
    <row r="55" spans="8:8" x14ac:dyDescent="0.2">
      <c r="H55" s="31" t="str">
        <f t="shared" si="1"/>
        <v/>
      </c>
    </row>
    <row r="56" spans="8:8" x14ac:dyDescent="0.2">
      <c r="H56" s="31" t="str">
        <f t="shared" si="1"/>
        <v/>
      </c>
    </row>
    <row r="57" spans="8:8" x14ac:dyDescent="0.2">
      <c r="H57" s="31" t="str">
        <f t="shared" si="1"/>
        <v/>
      </c>
    </row>
    <row r="58" spans="8:8" x14ac:dyDescent="0.2">
      <c r="H58" s="31" t="str">
        <f t="shared" si="1"/>
        <v/>
      </c>
    </row>
    <row r="59" spans="8:8" x14ac:dyDescent="0.2">
      <c r="H59" s="3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H59"/>
  <sheetViews>
    <sheetView topLeftCell="A13" workbookViewId="0">
      <selection activeCell="H34" sqref="H34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140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143</v>
      </c>
      <c r="B2" t="s">
        <v>144</v>
      </c>
      <c r="C2" s="46">
        <v>0</v>
      </c>
      <c r="D2" s="46">
        <v>2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 x14ac:dyDescent="0.2">
      <c r="A3" t="s">
        <v>145</v>
      </c>
      <c r="B3" t="s">
        <v>146</v>
      </c>
      <c r="C3" s="46">
        <v>4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73</v>
      </c>
      <c r="B4" t="s">
        <v>51</v>
      </c>
      <c r="C4" s="46">
        <v>3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143</v>
      </c>
      <c r="B6" t="s">
        <v>146</v>
      </c>
      <c r="C6" s="46">
        <v>2</v>
      </c>
      <c r="D6" s="4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144</v>
      </c>
      <c r="B7" t="s">
        <v>51</v>
      </c>
      <c r="C7" s="46">
        <v>3</v>
      </c>
      <c r="D7" s="46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145</v>
      </c>
      <c r="B8" t="s">
        <v>73</v>
      </c>
      <c r="C8" s="46">
        <v>2</v>
      </c>
      <c r="D8" s="46">
        <v>2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143</v>
      </c>
      <c r="B10" t="s">
        <v>51</v>
      </c>
      <c r="C10" s="46">
        <v>5</v>
      </c>
      <c r="D10" s="46">
        <v>2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146</v>
      </c>
      <c r="B11" t="s">
        <v>73</v>
      </c>
      <c r="C11" s="46">
        <v>0</v>
      </c>
      <c r="D11" s="46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144</v>
      </c>
      <c r="B12" t="s">
        <v>145</v>
      </c>
      <c r="C12" s="46">
        <v>1</v>
      </c>
      <c r="D12" s="46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143</v>
      </c>
      <c r="B14" t="s">
        <v>73</v>
      </c>
      <c r="C14" s="46">
        <v>1</v>
      </c>
      <c r="D14" s="46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51</v>
      </c>
      <c r="B15" t="s">
        <v>145</v>
      </c>
      <c r="C15" s="46">
        <v>6</v>
      </c>
      <c r="D15" s="46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146</v>
      </c>
      <c r="B16" t="s">
        <v>144</v>
      </c>
      <c r="C16" s="46">
        <v>0</v>
      </c>
      <c r="D16" s="46">
        <v>4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143</v>
      </c>
      <c r="B18" t="s">
        <v>145</v>
      </c>
      <c r="C18" s="46">
        <v>0</v>
      </c>
      <c r="D18" s="46">
        <v>0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73</v>
      </c>
      <c r="B19" t="s">
        <v>144</v>
      </c>
      <c r="C19" s="46">
        <v>0</v>
      </c>
      <c r="D19" s="46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51</v>
      </c>
      <c r="B20" t="s">
        <v>146</v>
      </c>
      <c r="C20" s="46">
        <v>1</v>
      </c>
      <c r="D20" s="46">
        <v>1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144</v>
      </c>
      <c r="B22" t="s">
        <v>143</v>
      </c>
      <c r="C22" s="46">
        <v>2</v>
      </c>
      <c r="D22" s="46">
        <v>2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146</v>
      </c>
      <c r="B23" t="s">
        <v>145</v>
      </c>
      <c r="C23" s="46">
        <v>0</v>
      </c>
      <c r="D23" s="46">
        <v>0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51</v>
      </c>
      <c r="B24" t="s">
        <v>73</v>
      </c>
      <c r="C24" s="46">
        <v>2</v>
      </c>
      <c r="D24" s="46">
        <v>1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146</v>
      </c>
      <c r="B26" t="s">
        <v>143</v>
      </c>
      <c r="C26" s="46">
        <v>1</v>
      </c>
      <c r="D26" s="46">
        <v>3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51</v>
      </c>
      <c r="B27" t="s">
        <v>144</v>
      </c>
      <c r="C27" s="46">
        <v>0</v>
      </c>
      <c r="D27" s="46">
        <v>3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73</v>
      </c>
      <c r="B28" t="s">
        <v>145</v>
      </c>
      <c r="C28" s="46">
        <v>2</v>
      </c>
      <c r="D28" s="46">
        <v>1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51</v>
      </c>
      <c r="B30" t="s">
        <v>143</v>
      </c>
      <c r="C30" s="46">
        <v>2</v>
      </c>
      <c r="D30" s="46">
        <v>4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73</v>
      </c>
      <c r="B31" t="s">
        <v>146</v>
      </c>
      <c r="C31" s="46">
        <v>2</v>
      </c>
      <c r="D31" s="46">
        <v>2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145</v>
      </c>
      <c r="B32" t="s">
        <v>144</v>
      </c>
      <c r="C32" s="46">
        <v>1</v>
      </c>
      <c r="D32" s="46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73</v>
      </c>
      <c r="B34" t="s">
        <v>143</v>
      </c>
      <c r="C34" s="46">
        <v>1</v>
      </c>
      <c r="D34" s="46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145</v>
      </c>
      <c r="B35" t="s">
        <v>51</v>
      </c>
      <c r="C35" s="46">
        <v>1</v>
      </c>
      <c r="D35" s="46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144</v>
      </c>
      <c r="B36" t="s">
        <v>146</v>
      </c>
      <c r="C36" s="46">
        <v>2</v>
      </c>
      <c r="D36" s="4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145</v>
      </c>
      <c r="B38" t="s">
        <v>143</v>
      </c>
      <c r="C38" s="46">
        <v>1</v>
      </c>
      <c r="D38" s="46">
        <v>1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144</v>
      </c>
      <c r="B39" t="s">
        <v>73</v>
      </c>
      <c r="C39" s="46">
        <v>1</v>
      </c>
      <c r="D39" s="46">
        <v>0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146</v>
      </c>
      <c r="B40" t="s">
        <v>51</v>
      </c>
      <c r="C40" s="46">
        <v>1</v>
      </c>
      <c r="D40" s="46">
        <v>1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si="0"/>
        <v/>
      </c>
    </row>
    <row r="42" spans="1:8" x14ac:dyDescent="0.2">
      <c r="H42" s="31" t="str">
        <f t="shared" si="0"/>
        <v/>
      </c>
    </row>
    <row r="43" spans="1:8" x14ac:dyDescent="0.2">
      <c r="H43" s="31" t="str">
        <f t="shared" si="0"/>
        <v/>
      </c>
    </row>
    <row r="44" spans="1:8" x14ac:dyDescent="0.2">
      <c r="H44" s="31" t="str">
        <f t="shared" si="0"/>
        <v/>
      </c>
    </row>
    <row r="45" spans="1:8" x14ac:dyDescent="0.2">
      <c r="H45" s="31" t="str">
        <f t="shared" si="0"/>
        <v/>
      </c>
    </row>
    <row r="46" spans="1:8" x14ac:dyDescent="0.2">
      <c r="H46" s="31" t="str">
        <f t="shared" si="0"/>
        <v/>
      </c>
    </row>
    <row r="47" spans="1:8" x14ac:dyDescent="0.2">
      <c r="H47" s="31" t="str">
        <f t="shared" si="0"/>
        <v/>
      </c>
    </row>
    <row r="48" spans="1:8" x14ac:dyDescent="0.2">
      <c r="H48" s="31" t="str">
        <f t="shared" si="0"/>
        <v/>
      </c>
    </row>
    <row r="49" spans="8:8" x14ac:dyDescent="0.2">
      <c r="H49" s="31" t="str">
        <f t="shared" si="0"/>
        <v/>
      </c>
    </row>
    <row r="50" spans="8:8" x14ac:dyDescent="0.2">
      <c r="H50" s="31" t="str">
        <f t="shared" si="0"/>
        <v/>
      </c>
    </row>
    <row r="51" spans="8:8" x14ac:dyDescent="0.2">
      <c r="H51" s="31" t="str">
        <f t="shared" si="0"/>
        <v/>
      </c>
    </row>
    <row r="52" spans="8:8" x14ac:dyDescent="0.2">
      <c r="H52" s="31" t="str">
        <f t="shared" si="0"/>
        <v/>
      </c>
    </row>
    <row r="53" spans="8:8" x14ac:dyDescent="0.2">
      <c r="H53" s="31" t="str">
        <f t="shared" si="0"/>
        <v/>
      </c>
    </row>
    <row r="54" spans="8:8" x14ac:dyDescent="0.2">
      <c r="H54" s="31" t="str">
        <f t="shared" si="0"/>
        <v/>
      </c>
    </row>
    <row r="55" spans="8:8" x14ac:dyDescent="0.2">
      <c r="H55" s="31" t="str">
        <f t="shared" si="0"/>
        <v/>
      </c>
    </row>
    <row r="56" spans="8:8" x14ac:dyDescent="0.2">
      <c r="H56" s="31" t="str">
        <f t="shared" si="0"/>
        <v/>
      </c>
    </row>
    <row r="57" spans="8:8" x14ac:dyDescent="0.2">
      <c r="H57" s="31" t="str">
        <f t="shared" si="0"/>
        <v/>
      </c>
    </row>
    <row r="58" spans="8:8" x14ac:dyDescent="0.2">
      <c r="H58" s="31" t="str">
        <f t="shared" si="0"/>
        <v/>
      </c>
    </row>
    <row r="59" spans="8:8" x14ac:dyDescent="0.2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59"/>
  <sheetViews>
    <sheetView topLeftCell="A22" workbookViewId="0">
      <selection activeCell="E41" sqref="E41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141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147</v>
      </c>
      <c r="B2" t="s">
        <v>148</v>
      </c>
      <c r="C2" s="46">
        <v>1</v>
      </c>
      <c r="D2" s="46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 x14ac:dyDescent="0.2">
      <c r="A3" t="s">
        <v>50</v>
      </c>
      <c r="B3" t="s">
        <v>149</v>
      </c>
      <c r="C3" s="46">
        <v>1</v>
      </c>
      <c r="D3" s="46">
        <v>2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150</v>
      </c>
      <c r="B4" t="s">
        <v>151</v>
      </c>
      <c r="C4" s="46">
        <v>1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147</v>
      </c>
      <c r="B6" t="s">
        <v>149</v>
      </c>
      <c r="C6" s="46">
        <v>2</v>
      </c>
      <c r="D6" s="4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148</v>
      </c>
      <c r="B7" t="s">
        <v>151</v>
      </c>
      <c r="C7" s="46">
        <v>1</v>
      </c>
      <c r="D7" s="46">
        <v>3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50</v>
      </c>
      <c r="B8" t="s">
        <v>150</v>
      </c>
      <c r="C8" s="46">
        <v>1</v>
      </c>
      <c r="D8" s="46">
        <v>3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147</v>
      </c>
      <c r="B10" t="s">
        <v>151</v>
      </c>
      <c r="C10" s="46">
        <v>1</v>
      </c>
      <c r="D10" s="46">
        <v>1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149</v>
      </c>
      <c r="B11" t="s">
        <v>150</v>
      </c>
      <c r="C11" s="46">
        <v>1</v>
      </c>
      <c r="D11" s="46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148</v>
      </c>
      <c r="B12" t="s">
        <v>50</v>
      </c>
      <c r="C12" s="46">
        <v>5</v>
      </c>
      <c r="D12" s="46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147</v>
      </c>
      <c r="B14" t="s">
        <v>150</v>
      </c>
      <c r="C14" s="46">
        <v>2</v>
      </c>
      <c r="D14" s="46">
        <v>3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151</v>
      </c>
      <c r="B15" t="s">
        <v>50</v>
      </c>
      <c r="C15" s="46">
        <v>0</v>
      </c>
      <c r="D15" s="46">
        <v>1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149</v>
      </c>
      <c r="B16" t="s">
        <v>148</v>
      </c>
      <c r="C16" s="46">
        <v>0</v>
      </c>
      <c r="D16" s="4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147</v>
      </c>
      <c r="B18" t="s">
        <v>50</v>
      </c>
      <c r="C18" s="46">
        <v>2</v>
      </c>
      <c r="D18" s="46">
        <v>0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150</v>
      </c>
      <c r="B19" t="s">
        <v>148</v>
      </c>
      <c r="C19" s="46">
        <v>2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151</v>
      </c>
      <c r="B20" t="s">
        <v>149</v>
      </c>
      <c r="C20" s="46">
        <v>3</v>
      </c>
      <c r="D20" s="46">
        <v>2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148</v>
      </c>
      <c r="B22" t="s">
        <v>147</v>
      </c>
      <c r="C22" s="46">
        <v>3</v>
      </c>
      <c r="D22" s="46">
        <v>0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149</v>
      </c>
      <c r="B23" t="s">
        <v>50</v>
      </c>
      <c r="C23" s="46">
        <v>1</v>
      </c>
      <c r="D23" s="46">
        <v>1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151</v>
      </c>
      <c r="B24" t="s">
        <v>150</v>
      </c>
      <c r="C24" s="46">
        <v>3</v>
      </c>
      <c r="D24" s="46">
        <v>2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149</v>
      </c>
      <c r="B26" t="s">
        <v>147</v>
      </c>
      <c r="C26" s="46">
        <v>1</v>
      </c>
      <c r="D26" s="46">
        <v>0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151</v>
      </c>
      <c r="B27" t="s">
        <v>148</v>
      </c>
      <c r="C27" s="46">
        <v>1</v>
      </c>
      <c r="D27" s="46">
        <v>0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150</v>
      </c>
      <c r="B28" t="s">
        <v>50</v>
      </c>
      <c r="C28" s="46">
        <v>2</v>
      </c>
      <c r="D28" s="46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151</v>
      </c>
      <c r="B30" t="s">
        <v>147</v>
      </c>
      <c r="C30" s="46">
        <v>0</v>
      </c>
      <c r="D30" s="46">
        <v>0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150</v>
      </c>
      <c r="B31" t="s">
        <v>149</v>
      </c>
      <c r="C31" s="46">
        <v>1</v>
      </c>
      <c r="D31" s="46">
        <v>1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50</v>
      </c>
      <c r="B32" t="s">
        <v>148</v>
      </c>
      <c r="C32" s="46">
        <v>2</v>
      </c>
      <c r="D32" s="46">
        <v>0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150</v>
      </c>
      <c r="B34" t="s">
        <v>147</v>
      </c>
      <c r="C34" s="46">
        <v>1</v>
      </c>
      <c r="D34" s="46">
        <v>2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50</v>
      </c>
      <c r="B35" t="s">
        <v>151</v>
      </c>
      <c r="C35" s="46">
        <v>2</v>
      </c>
      <c r="D35" s="46">
        <v>3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148</v>
      </c>
      <c r="B36" t="s">
        <v>149</v>
      </c>
      <c r="C36" s="46">
        <v>2</v>
      </c>
      <c r="D36" s="4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50</v>
      </c>
      <c r="B38" t="s">
        <v>147</v>
      </c>
      <c r="C38" s="46">
        <v>0</v>
      </c>
      <c r="D38" s="46">
        <v>1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148</v>
      </c>
      <c r="B39" t="s">
        <v>150</v>
      </c>
      <c r="C39" s="46">
        <v>0</v>
      </c>
      <c r="D39" s="46">
        <v>4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149</v>
      </c>
      <c r="B40" t="s">
        <v>151</v>
      </c>
      <c r="C40" s="46">
        <v>1</v>
      </c>
      <c r="D40" s="46">
        <v>2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si="0"/>
        <v/>
      </c>
    </row>
    <row r="42" spans="1:8" x14ac:dyDescent="0.2">
      <c r="H42" s="31" t="str">
        <f t="shared" si="0"/>
        <v/>
      </c>
    </row>
    <row r="43" spans="1:8" x14ac:dyDescent="0.2">
      <c r="H43" s="31" t="str">
        <f t="shared" si="0"/>
        <v/>
      </c>
    </row>
    <row r="44" spans="1:8" x14ac:dyDescent="0.2">
      <c r="H44" s="31" t="str">
        <f t="shared" si="0"/>
        <v/>
      </c>
    </row>
    <row r="45" spans="1:8" x14ac:dyDescent="0.2">
      <c r="H45" s="31" t="str">
        <f t="shared" si="0"/>
        <v/>
      </c>
    </row>
    <row r="46" spans="1:8" x14ac:dyDescent="0.2">
      <c r="H46" s="31" t="str">
        <f t="shared" si="0"/>
        <v/>
      </c>
    </row>
    <row r="47" spans="1:8" x14ac:dyDescent="0.2">
      <c r="H47" s="31" t="str">
        <f t="shared" si="0"/>
        <v/>
      </c>
    </row>
    <row r="48" spans="1:8" x14ac:dyDescent="0.2">
      <c r="H48" s="31" t="str">
        <f t="shared" si="0"/>
        <v/>
      </c>
    </row>
    <row r="49" spans="8:8" x14ac:dyDescent="0.2">
      <c r="H49" s="31" t="str">
        <f t="shared" si="0"/>
        <v/>
      </c>
    </row>
    <row r="50" spans="8:8" x14ac:dyDescent="0.2">
      <c r="H50" s="31" t="str">
        <f t="shared" si="0"/>
        <v/>
      </c>
    </row>
    <row r="51" spans="8:8" x14ac:dyDescent="0.2">
      <c r="H51" s="31" t="str">
        <f t="shared" si="0"/>
        <v/>
      </c>
    </row>
    <row r="52" spans="8:8" x14ac:dyDescent="0.2">
      <c r="H52" s="31" t="str">
        <f t="shared" si="0"/>
        <v/>
      </c>
    </row>
    <row r="53" spans="8:8" x14ac:dyDescent="0.2">
      <c r="H53" s="31" t="str">
        <f t="shared" si="0"/>
        <v/>
      </c>
    </row>
    <row r="54" spans="8:8" x14ac:dyDescent="0.2">
      <c r="H54" s="31" t="str">
        <f t="shared" si="0"/>
        <v/>
      </c>
    </row>
    <row r="55" spans="8:8" x14ac:dyDescent="0.2">
      <c r="H55" s="31" t="str">
        <f t="shared" si="0"/>
        <v/>
      </c>
    </row>
    <row r="56" spans="8:8" x14ac:dyDescent="0.2">
      <c r="H56" s="31" t="str">
        <f t="shared" si="0"/>
        <v/>
      </c>
    </row>
    <row r="57" spans="8:8" x14ac:dyDescent="0.2">
      <c r="H57" s="31" t="str">
        <f t="shared" si="0"/>
        <v/>
      </c>
    </row>
    <row r="58" spans="8:8" x14ac:dyDescent="0.2">
      <c r="H58" s="31" t="str">
        <f t="shared" si="0"/>
        <v/>
      </c>
    </row>
    <row r="59" spans="8:8" x14ac:dyDescent="0.2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H59"/>
  <sheetViews>
    <sheetView workbookViewId="0">
      <selection activeCell="B18" sqref="B18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142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152</v>
      </c>
      <c r="B2" t="s">
        <v>153</v>
      </c>
      <c r="C2" s="46">
        <v>0</v>
      </c>
      <c r="D2" s="46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 x14ac:dyDescent="0.2">
      <c r="A3" t="s">
        <v>154</v>
      </c>
      <c r="B3" t="s">
        <v>74</v>
      </c>
      <c r="C3" s="46">
        <v>0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155</v>
      </c>
      <c r="B4" t="s">
        <v>156</v>
      </c>
      <c r="C4" s="46">
        <v>1</v>
      </c>
      <c r="D4" s="46">
        <v>0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152</v>
      </c>
      <c r="B6" t="s">
        <v>74</v>
      </c>
      <c r="C6" s="46">
        <v>4</v>
      </c>
      <c r="D6" s="46">
        <v>0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153</v>
      </c>
      <c r="B7" t="s">
        <v>156</v>
      </c>
      <c r="C7" s="46">
        <v>0</v>
      </c>
      <c r="D7" s="46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154</v>
      </c>
      <c r="B8" t="s">
        <v>155</v>
      </c>
      <c r="C8" s="46">
        <v>3</v>
      </c>
      <c r="D8" s="46">
        <v>4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152</v>
      </c>
      <c r="B10" t="s">
        <v>156</v>
      </c>
      <c r="C10" s="46">
        <v>0</v>
      </c>
      <c r="D10" s="46">
        <v>0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74</v>
      </c>
      <c r="B11" t="s">
        <v>155</v>
      </c>
      <c r="C11" s="46">
        <v>0</v>
      </c>
      <c r="D11" s="46">
        <v>3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153</v>
      </c>
      <c r="B12" t="s">
        <v>154</v>
      </c>
      <c r="C12" s="46">
        <v>1</v>
      </c>
      <c r="D12" s="46">
        <v>3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152</v>
      </c>
      <c r="B14" t="s">
        <v>155</v>
      </c>
      <c r="C14" s="46">
        <v>1</v>
      </c>
      <c r="D14" s="46">
        <v>1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156</v>
      </c>
      <c r="B15" t="s">
        <v>154</v>
      </c>
      <c r="C15" s="46">
        <v>0</v>
      </c>
      <c r="D15" s="46">
        <v>2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74</v>
      </c>
      <c r="B16" t="s">
        <v>153</v>
      </c>
      <c r="C16" s="46">
        <v>4</v>
      </c>
      <c r="D16" s="4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152</v>
      </c>
      <c r="B18" t="s">
        <v>154</v>
      </c>
      <c r="C18" s="46">
        <v>1</v>
      </c>
      <c r="D18" s="46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155</v>
      </c>
      <c r="B19" t="s">
        <v>153</v>
      </c>
      <c r="C19" s="46">
        <v>0</v>
      </c>
      <c r="D19" s="46">
        <v>0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156</v>
      </c>
      <c r="B20" t="s">
        <v>74</v>
      </c>
      <c r="C20" s="46">
        <v>2</v>
      </c>
      <c r="D20" s="46">
        <v>1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153</v>
      </c>
      <c r="B22" t="s">
        <v>152</v>
      </c>
      <c r="C22" s="46">
        <v>0</v>
      </c>
      <c r="D22" s="46">
        <v>4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74</v>
      </c>
      <c r="B23" t="s">
        <v>154</v>
      </c>
      <c r="C23" s="46">
        <v>2</v>
      </c>
      <c r="D23" s="46">
        <v>1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156</v>
      </c>
      <c r="B24" t="s">
        <v>155</v>
      </c>
      <c r="C24" s="46">
        <v>1</v>
      </c>
      <c r="D24" s="46">
        <v>0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74</v>
      </c>
      <c r="B26" t="s">
        <v>152</v>
      </c>
      <c r="C26" s="46">
        <v>1</v>
      </c>
      <c r="D26" s="46">
        <v>0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156</v>
      </c>
      <c r="B27" t="s">
        <v>153</v>
      </c>
      <c r="C27" s="46">
        <v>2</v>
      </c>
      <c r="D27" s="46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155</v>
      </c>
      <c r="B28" t="s">
        <v>154</v>
      </c>
      <c r="C28" s="46">
        <v>3</v>
      </c>
      <c r="D28" s="46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156</v>
      </c>
      <c r="B30" t="s">
        <v>152</v>
      </c>
      <c r="C30" s="46">
        <v>1</v>
      </c>
      <c r="D30" s="46">
        <v>4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155</v>
      </c>
      <c r="B31" t="s">
        <v>74</v>
      </c>
      <c r="C31" s="46">
        <v>3</v>
      </c>
      <c r="D31" s="46">
        <v>1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154</v>
      </c>
      <c r="B32" t="s">
        <v>153</v>
      </c>
      <c r="C32" s="46">
        <v>3</v>
      </c>
      <c r="D32" s="46">
        <v>1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155</v>
      </c>
      <c r="B34" t="s">
        <v>152</v>
      </c>
      <c r="C34" s="46">
        <v>1</v>
      </c>
      <c r="D34" s="46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154</v>
      </c>
      <c r="B35" t="s">
        <v>156</v>
      </c>
      <c r="C35" s="46">
        <v>1</v>
      </c>
      <c r="D35" s="46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153</v>
      </c>
      <c r="B36" t="s">
        <v>74</v>
      </c>
      <c r="C36" s="46">
        <v>1</v>
      </c>
      <c r="D36" s="46">
        <v>2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154</v>
      </c>
      <c r="B38" t="s">
        <v>152</v>
      </c>
      <c r="C38" s="46">
        <v>2</v>
      </c>
      <c r="D38" s="46">
        <v>0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153</v>
      </c>
      <c r="B39" t="s">
        <v>155</v>
      </c>
      <c r="C39" s="46">
        <v>0</v>
      </c>
      <c r="D39" s="46">
        <v>2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74</v>
      </c>
      <c r="B40" t="s">
        <v>156</v>
      </c>
      <c r="C40" s="46">
        <v>3</v>
      </c>
      <c r="D40" s="46">
        <v>1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si="0"/>
        <v/>
      </c>
    </row>
    <row r="42" spans="1:8" x14ac:dyDescent="0.2">
      <c r="H42" s="31" t="str">
        <f t="shared" si="0"/>
        <v/>
      </c>
    </row>
    <row r="43" spans="1:8" x14ac:dyDescent="0.2">
      <c r="H43" s="31" t="str">
        <f t="shared" si="0"/>
        <v/>
      </c>
    </row>
    <row r="44" spans="1:8" x14ac:dyDescent="0.2">
      <c r="H44" s="31" t="str">
        <f t="shared" si="0"/>
        <v/>
      </c>
    </row>
    <row r="45" spans="1:8" x14ac:dyDescent="0.2">
      <c r="H45" s="31" t="str">
        <f t="shared" si="0"/>
        <v/>
      </c>
    </row>
    <row r="46" spans="1:8" x14ac:dyDescent="0.2">
      <c r="H46" s="31" t="str">
        <f t="shared" si="0"/>
        <v/>
      </c>
    </row>
    <row r="47" spans="1:8" x14ac:dyDescent="0.2">
      <c r="H47" s="31" t="str">
        <f t="shared" si="0"/>
        <v/>
      </c>
    </row>
    <row r="48" spans="1:8" x14ac:dyDescent="0.2">
      <c r="H48" s="31" t="str">
        <f t="shared" si="0"/>
        <v/>
      </c>
    </row>
    <row r="49" spans="8:8" x14ac:dyDescent="0.2">
      <c r="H49" s="31" t="str">
        <f t="shared" si="0"/>
        <v/>
      </c>
    </row>
    <row r="50" spans="8:8" x14ac:dyDescent="0.2">
      <c r="H50" s="31" t="str">
        <f t="shared" si="0"/>
        <v/>
      </c>
    </row>
    <row r="51" spans="8:8" x14ac:dyDescent="0.2">
      <c r="H51" s="31" t="str">
        <f t="shared" si="0"/>
        <v/>
      </c>
    </row>
    <row r="52" spans="8:8" x14ac:dyDescent="0.2">
      <c r="H52" s="31" t="str">
        <f t="shared" si="0"/>
        <v/>
      </c>
    </row>
    <row r="53" spans="8:8" x14ac:dyDescent="0.2">
      <c r="H53" s="31" t="str">
        <f t="shared" si="0"/>
        <v/>
      </c>
    </row>
    <row r="54" spans="8:8" x14ac:dyDescent="0.2">
      <c r="H54" s="31" t="str">
        <f t="shared" si="0"/>
        <v/>
      </c>
    </row>
    <row r="55" spans="8:8" x14ac:dyDescent="0.2">
      <c r="H55" s="31" t="str">
        <f t="shared" si="0"/>
        <v/>
      </c>
    </row>
    <row r="56" spans="8:8" x14ac:dyDescent="0.2">
      <c r="H56" s="31" t="str">
        <f t="shared" si="0"/>
        <v/>
      </c>
    </row>
    <row r="57" spans="8:8" x14ac:dyDescent="0.2">
      <c r="H57" s="31" t="str">
        <f t="shared" si="0"/>
        <v/>
      </c>
    </row>
    <row r="58" spans="8:8" x14ac:dyDescent="0.2">
      <c r="H58" s="31" t="str">
        <f t="shared" si="0"/>
        <v/>
      </c>
    </row>
    <row r="59" spans="8:8" x14ac:dyDescent="0.2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H108"/>
  <sheetViews>
    <sheetView workbookViewId="0">
      <selection activeCell="J56" sqref="J56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7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220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151</v>
      </c>
      <c r="B2" t="s">
        <v>144</v>
      </c>
      <c r="C2">
        <v>2</v>
      </c>
      <c r="D2">
        <v>2</v>
      </c>
      <c r="F2" s="31" t="str">
        <f ca="1">IF(OR(OR($A2="",$B2=""),AND($C2&lt;&gt;"",$D2&lt;&gt;"")),"",VLOOKUP(A2,IF({1,0},INDIRECT("达修波得!$"&amp;$E$1&amp;"$2:$"&amp;$E$1&amp;"$15"),达修波得!$A$2:$A$13),2,FALSE))</f>
        <v/>
      </c>
      <c r="G2" s="31" t="str">
        <f ca="1">IF(OR(OR($A2="",$B2=""),AND($C2&lt;&gt;"",$D2&lt;&gt;"")),"",VLOOKUP(B2,IF({1,0},INDIRECT("达修波得!$"&amp;$E$1&amp;"$2:$"&amp;$E$1&amp;"$15"),达修波得!$A$2:$A$13),2,FALSE))</f>
        <v/>
      </c>
      <c r="H2" s="31" t="str">
        <f t="shared" ref="H2" ca="1" si="0">F2&amp;G2</f>
        <v/>
      </c>
    </row>
    <row r="3" spans="1:8" x14ac:dyDescent="0.2">
      <c r="A3" t="s">
        <v>138</v>
      </c>
      <c r="B3" t="s">
        <v>12</v>
      </c>
      <c r="F3" s="31" t="str">
        <f ca="1">IF(OR(OR($A3="",$B3=""),AND($C3&lt;&gt;"",$D3&lt;&gt;"")),"",VLOOKUP(A3,IF({1,0},INDIRECT("达修波得!$"&amp;$E$1&amp;"$2:$"&amp;$E$1&amp;"$15"),达修波得!$A$2:$A$13),2,FALSE))</f>
        <v>二2</v>
      </c>
      <c r="G3" s="31" t="str">
        <f ca="1">IF(OR(OR($A3="",$B3=""),AND($C3&lt;&gt;"",$D3&lt;&gt;"")),"",VLOOKUP(B3,IF({1,0},INDIRECT("达修波得!$"&amp;$E$1&amp;"$2:$"&amp;$E$1&amp;"$15"),达修波得!$A$2:$A$13),2,FALSE))</f>
        <v>宇</v>
      </c>
      <c r="H3" s="31" t="str">
        <f t="shared" ref="H3:H66" ca="1" si="1">F3&amp;G3</f>
        <v>二2宇</v>
      </c>
    </row>
    <row r="4" spans="1:8" x14ac:dyDescent="0.2">
      <c r="A4" t="s">
        <v>68</v>
      </c>
      <c r="B4" t="s">
        <v>129</v>
      </c>
      <c r="F4" s="31" t="str">
        <f ca="1">IF(OR(OR($A4="",$B4=""),AND($C4&lt;&gt;"",$D4&lt;&gt;"")),"",VLOOKUP(A4,IF({1,0},INDIRECT("达修波得!$"&amp;$E$1&amp;"$2:$"&amp;$E$1&amp;"$15"),达修波得!$A$2:$A$13),2,FALSE))</f>
        <v>爷2</v>
      </c>
      <c r="G4" s="31" t="str">
        <f ca="1">IF(OR(OR($A4="",$B4=""),AND($C4&lt;&gt;"",$D4&lt;&gt;"")),"",VLOOKUP(B4,IF({1,0},INDIRECT("达修波得!$"&amp;$E$1&amp;"$2:$"&amp;$E$1&amp;"$15"),达修波得!$A$2:$A$13),2,FALSE))</f>
        <v>爷</v>
      </c>
      <c r="H4" s="31" t="str">
        <f t="shared" ca="1" si="1"/>
        <v>爷2爷</v>
      </c>
    </row>
    <row r="5" spans="1:8" x14ac:dyDescent="0.2">
      <c r="A5" t="s">
        <v>135</v>
      </c>
      <c r="B5" t="s">
        <v>62</v>
      </c>
      <c r="F5" s="31" t="str">
        <f ca="1">IF(OR(OR($A5="",$B5=""),AND($C5&lt;&gt;"",$D5&lt;&gt;"")),"",VLOOKUP(A5,IF({1,0},INDIRECT("达修波得!$"&amp;$E$1&amp;"$2:$"&amp;$E$1&amp;"$15"),达修波得!$A$2:$A$13),2,FALSE))</f>
        <v>贝</v>
      </c>
      <c r="G5" s="31" t="str">
        <f ca="1">IF(OR(OR($A5="",$B5=""),AND($C5&lt;&gt;"",$D5&lt;&gt;"")),"",VLOOKUP(B5,IF({1,0},INDIRECT("达修波得!$"&amp;$E$1&amp;"$2:$"&amp;$E$1&amp;"$15"),达修波得!$A$2:$A$13),2,FALSE))</f>
        <v>宇2</v>
      </c>
      <c r="H5" s="31" t="str">
        <f t="shared" ca="1" si="1"/>
        <v>贝宇2</v>
      </c>
    </row>
    <row r="6" spans="1:8" x14ac:dyDescent="0.2">
      <c r="A6" s="46" t="s">
        <v>132</v>
      </c>
      <c r="B6" s="46" t="s">
        <v>155</v>
      </c>
      <c r="F6" s="31" t="str">
        <f ca="1">IF(OR(OR($A6="",$B6=""),AND($C6&lt;&gt;"",$D6&lt;&gt;"")),"",VLOOKUP(A6,IF({1,0},INDIRECT("达修波得!$"&amp;$E$1&amp;"$2:$"&amp;$E$1&amp;"$15"),达修波得!$A$2:$A$13),2,FALSE))</f>
        <v>磊</v>
      </c>
      <c r="G6" s="31" t="str">
        <f ca="1">IF(OR(OR($A6="",$B6=""),AND($C6&lt;&gt;"",$D6&lt;&gt;"")),"",VLOOKUP(B6,IF({1,0},INDIRECT("达修波得!$"&amp;$E$1&amp;"$2:$"&amp;$E$1&amp;"$15"),达修波得!$A$2:$A$13),2,FALSE))</f>
        <v>二</v>
      </c>
      <c r="H6" s="31" t="str">
        <f t="shared" ca="1" si="1"/>
        <v>磊二</v>
      </c>
    </row>
    <row r="7" spans="1:8" x14ac:dyDescent="0.2">
      <c r="A7" s="4" t="s">
        <v>10</v>
      </c>
      <c r="C7" s="5"/>
      <c r="D7" s="5"/>
      <c r="F7" s="31" t="str">
        <f ca="1">IF(OR(OR($A7="",$B7=""),AND($C7&lt;&gt;"",$D7&lt;&gt;"")),"",VLOOKUP(A7,IF({1,0},INDIRECT("达修波得!$"&amp;$E$1&amp;"$2:$"&amp;$E$1&amp;"$15"),达修波得!$A$2:$A$13),2,FALSE))</f>
        <v/>
      </c>
      <c r="G7" s="31" t="str">
        <f ca="1">IF(OR(OR($A7="",$B7=""),AND($C7&lt;&gt;"",$D7&lt;&gt;"")),"",VLOOKUP(B7,IF({1,0},INDIRECT("达修波得!$"&amp;$E$1&amp;"$2:$"&amp;$E$1&amp;"$15"),达修波得!$A$2:$A$13),2,FALSE))</f>
        <v/>
      </c>
      <c r="H7" s="31" t="str">
        <f t="shared" ca="1" si="1"/>
        <v/>
      </c>
    </row>
    <row r="8" spans="1:8" x14ac:dyDescent="0.2">
      <c r="A8" t="s">
        <v>151</v>
      </c>
      <c r="B8" t="s">
        <v>12</v>
      </c>
      <c r="C8">
        <v>1</v>
      </c>
      <c r="D8">
        <v>1</v>
      </c>
      <c r="F8" s="31" t="str">
        <f ca="1">IF(OR(OR($A8="",$B8=""),AND($C8&lt;&gt;"",$D8&lt;&gt;"")),"",VLOOKUP(A8,IF({1,0},INDIRECT("达修波得!$"&amp;$E$1&amp;"$2:$"&amp;$E$1&amp;"$15"),达修波得!$A$2:$A$13),2,FALSE))</f>
        <v/>
      </c>
      <c r="G8" s="31" t="str">
        <f ca="1">IF(OR(OR($A8="",$B8=""),AND($C8&lt;&gt;"",$D8&lt;&gt;"")),"",VLOOKUP(B8,IF({1,0},INDIRECT("达修波得!$"&amp;$E$1&amp;"$2:$"&amp;$E$1&amp;"$15"),达修波得!$A$2:$A$13),2,FALSE))</f>
        <v/>
      </c>
      <c r="H8" s="31" t="str">
        <f t="shared" ca="1" si="1"/>
        <v/>
      </c>
    </row>
    <row r="9" spans="1:8" x14ac:dyDescent="0.2">
      <c r="A9" t="s">
        <v>144</v>
      </c>
      <c r="B9" t="s">
        <v>129</v>
      </c>
      <c r="F9" s="31" t="str">
        <f ca="1">IF(OR(OR($A9="",$B9=""),AND($C9&lt;&gt;"",$D9&lt;&gt;"")),"",VLOOKUP(A9,IF({1,0},INDIRECT("达修波得!$"&amp;$E$1&amp;"$2:$"&amp;$E$1&amp;"$15"),达修波得!$A$2:$A$13),2,FALSE))</f>
        <v>贝2</v>
      </c>
      <c r="G9" s="31" t="str">
        <f ca="1">IF(OR(OR($A9="",$B9=""),AND($C9&lt;&gt;"",$D9&lt;&gt;"")),"",VLOOKUP(B9,IF({1,0},INDIRECT("达修波得!$"&amp;$E$1&amp;"$2:$"&amp;$E$1&amp;"$15"),达修波得!$A$2:$A$13),2,FALSE))</f>
        <v>爷</v>
      </c>
      <c r="H9" s="31" t="str">
        <f t="shared" ca="1" si="1"/>
        <v>贝2爷</v>
      </c>
    </row>
    <row r="10" spans="1:8" x14ac:dyDescent="0.2">
      <c r="A10" t="s">
        <v>138</v>
      </c>
      <c r="B10" t="s">
        <v>62</v>
      </c>
      <c r="F10" s="31" t="str">
        <f ca="1">IF(OR(OR($A10="",$B10=""),AND($C10&lt;&gt;"",$D10&lt;&gt;"")),"",VLOOKUP(A10,IF({1,0},INDIRECT("达修波得!$"&amp;$E$1&amp;"$2:$"&amp;$E$1&amp;"$15"),达修波得!$A$2:$A$13),2,FALSE))</f>
        <v>二2</v>
      </c>
      <c r="G10" s="31" t="str">
        <f ca="1">IF(OR(OR($A10="",$B10=""),AND($C10&lt;&gt;"",$D10&lt;&gt;"")),"",VLOOKUP(B10,IF({1,0},INDIRECT("达修波得!$"&amp;$E$1&amp;"$2:$"&amp;$E$1&amp;"$15"),达修波得!$A$2:$A$13),2,FALSE))</f>
        <v>宇2</v>
      </c>
      <c r="H10" s="31" t="str">
        <f t="shared" ca="1" si="1"/>
        <v>二2宇2</v>
      </c>
    </row>
    <row r="11" spans="1:8" x14ac:dyDescent="0.2">
      <c r="A11" t="s">
        <v>68</v>
      </c>
      <c r="B11" t="s">
        <v>155</v>
      </c>
      <c r="F11" s="31" t="str">
        <f ca="1">IF(OR(OR($A11="",$B11=""),AND($C11&lt;&gt;"",$D11&lt;&gt;"")),"",VLOOKUP(A11,IF({1,0},INDIRECT("达修波得!$"&amp;$E$1&amp;"$2:$"&amp;$E$1&amp;"$15"),达修波得!$A$2:$A$13),2,FALSE))</f>
        <v>爷2</v>
      </c>
      <c r="G11" s="31" t="str">
        <f ca="1">IF(OR(OR($A11="",$B11=""),AND($C11&lt;&gt;"",$D11&lt;&gt;"")),"",VLOOKUP(B11,IF({1,0},INDIRECT("达修波得!$"&amp;$E$1&amp;"$2:$"&amp;$E$1&amp;"$15"),达修波得!$A$2:$A$13),2,FALSE))</f>
        <v>二</v>
      </c>
      <c r="H11" s="31" t="str">
        <f t="shared" ca="1" si="1"/>
        <v>爷2二</v>
      </c>
    </row>
    <row r="12" spans="1:8" x14ac:dyDescent="0.2">
      <c r="A12" s="46" t="s">
        <v>135</v>
      </c>
      <c r="B12" s="46" t="s">
        <v>132</v>
      </c>
      <c r="C12">
        <v>2</v>
      </c>
      <c r="D12">
        <v>4</v>
      </c>
      <c r="F12" s="31" t="str">
        <f ca="1">IF(OR(OR($A12="",$B12=""),AND($C12&lt;&gt;"",$D12&lt;&gt;"")),"",VLOOKUP(A12,IF({1,0},INDIRECT("达修波得!$"&amp;$E$1&amp;"$2:$"&amp;$E$1&amp;"$15"),达修波得!$A$2:$A$13),2,FALSE))</f>
        <v/>
      </c>
      <c r="G12" s="31" t="str">
        <f ca="1">IF(OR(OR($A12="",$B12=""),AND($C12&lt;&gt;"",$D12&lt;&gt;"")),"",VLOOKUP(B12,IF({1,0},INDIRECT("达修波得!$"&amp;$E$1&amp;"$2:$"&amp;$E$1&amp;"$15"),达修波得!$A$2:$A$13),2,FALSE))</f>
        <v/>
      </c>
      <c r="H12" s="31" t="str">
        <f t="shared" ca="1" si="1"/>
        <v/>
      </c>
    </row>
    <row r="13" spans="1:8" x14ac:dyDescent="0.2">
      <c r="A13" s="4" t="s">
        <v>11</v>
      </c>
      <c r="C13" s="5"/>
      <c r="D13" s="5"/>
      <c r="F13" s="31" t="str">
        <f ca="1">IF(OR(OR($A13="",$B13=""),AND($C13&lt;&gt;"",$D13&lt;&gt;"")),"",VLOOKUP(A13,IF({1,0},INDIRECT("达修波得!$"&amp;$E$1&amp;"$2:$"&amp;$E$1&amp;"$15"),达修波得!$A$2:$A$13),2,FALSE))</f>
        <v/>
      </c>
      <c r="G13" s="31" t="str">
        <f ca="1">IF(OR(OR($A13="",$B13=""),AND($C13&lt;&gt;"",$D13&lt;&gt;"")),"",VLOOKUP(B13,IF({1,0},INDIRECT("达修波得!$"&amp;$E$1&amp;"$2:$"&amp;$E$1&amp;"$15"),达修波得!$A$2:$A$13),2,FALSE))</f>
        <v/>
      </c>
      <c r="H13" s="31" t="str">
        <f t="shared" ca="1" si="1"/>
        <v/>
      </c>
    </row>
    <row r="14" spans="1:8" x14ac:dyDescent="0.2">
      <c r="A14" t="s">
        <v>151</v>
      </c>
      <c r="B14" t="s">
        <v>129</v>
      </c>
      <c r="F14" s="31" t="str">
        <f ca="1">IF(OR(OR($A14="",$B14=""),AND($C14&lt;&gt;"",$D14&lt;&gt;"")),"",VLOOKUP(A14,IF({1,0},INDIRECT("达修波得!$"&amp;$E$1&amp;"$2:$"&amp;$E$1&amp;"$15"),达修波得!$A$2:$A$13),2,FALSE))</f>
        <v>磊2</v>
      </c>
      <c r="G14" s="31" t="str">
        <f ca="1">IF(OR(OR($A14="",$B14=""),AND($C14&lt;&gt;"",$D14&lt;&gt;"")),"",VLOOKUP(B14,IF({1,0},INDIRECT("达修波得!$"&amp;$E$1&amp;"$2:$"&amp;$E$1&amp;"$15"),达修波得!$A$2:$A$13),2,FALSE))</f>
        <v>爷</v>
      </c>
      <c r="H14" s="31" t="str">
        <f t="shared" ca="1" si="1"/>
        <v>磊2爷</v>
      </c>
    </row>
    <row r="15" spans="1:8" x14ac:dyDescent="0.2">
      <c r="A15" t="s">
        <v>12</v>
      </c>
      <c r="B15" t="s">
        <v>62</v>
      </c>
      <c r="F15" s="31" t="str">
        <f ca="1">IF(OR(OR($A15="",$B15=""),AND($C15&lt;&gt;"",$D15&lt;&gt;"")),"",VLOOKUP(A15,IF({1,0},INDIRECT("达修波得!$"&amp;$E$1&amp;"$2:$"&amp;$E$1&amp;"$15"),达修波得!$A$2:$A$13),2,FALSE))</f>
        <v>宇</v>
      </c>
      <c r="G15" s="31" t="str">
        <f ca="1">IF(OR(OR($A15="",$B15=""),AND($C15&lt;&gt;"",$D15&lt;&gt;"")),"",VLOOKUP(B15,IF({1,0},INDIRECT("达修波得!$"&amp;$E$1&amp;"$2:$"&amp;$E$1&amp;"$15"),达修波得!$A$2:$A$13),2,FALSE))</f>
        <v>宇2</v>
      </c>
      <c r="H15" s="31" t="str">
        <f t="shared" ca="1" si="1"/>
        <v>宇宇2</v>
      </c>
    </row>
    <row r="16" spans="1:8" x14ac:dyDescent="0.2">
      <c r="A16" t="s">
        <v>144</v>
      </c>
      <c r="B16" t="s">
        <v>155</v>
      </c>
      <c r="C16">
        <v>3</v>
      </c>
      <c r="D16">
        <v>3</v>
      </c>
      <c r="F16" s="31" t="str">
        <f ca="1">IF(OR(OR($A16="",$B16=""),AND($C16&lt;&gt;"",$D16&lt;&gt;"")),"",VLOOKUP(A16,IF({1,0},INDIRECT("达修波得!$"&amp;$E$1&amp;"$2:$"&amp;$E$1&amp;"$15"),达修波得!$A$2:$A$13),2,FALSE))</f>
        <v/>
      </c>
      <c r="G16" s="31" t="str">
        <f ca="1">IF(OR(OR($A16="",$B16=""),AND($C16&lt;&gt;"",$D16&lt;&gt;"")),"",VLOOKUP(B16,IF({1,0},INDIRECT("达修波得!$"&amp;$E$1&amp;"$2:$"&amp;$E$1&amp;"$15"),达修波得!$A$2:$A$13),2,FALSE))</f>
        <v/>
      </c>
      <c r="H16" s="31" t="str">
        <f t="shared" ca="1" si="1"/>
        <v/>
      </c>
    </row>
    <row r="17" spans="1:8" x14ac:dyDescent="0.2">
      <c r="A17" t="s">
        <v>138</v>
      </c>
      <c r="B17" t="s">
        <v>132</v>
      </c>
      <c r="F17" s="31" t="str">
        <f ca="1">IF(OR(OR($A17="",$B17=""),AND($C17&lt;&gt;"",$D17&lt;&gt;"")),"",VLOOKUP(A17,IF({1,0},INDIRECT("达修波得!$"&amp;$E$1&amp;"$2:$"&amp;$E$1&amp;"$15"),达修波得!$A$2:$A$13),2,FALSE))</f>
        <v>二2</v>
      </c>
      <c r="G17" s="31" t="str">
        <f ca="1">IF(OR(OR($A17="",$B17=""),AND($C17&lt;&gt;"",$D17&lt;&gt;"")),"",VLOOKUP(B17,IF({1,0},INDIRECT("达修波得!$"&amp;$E$1&amp;"$2:$"&amp;$E$1&amp;"$15"),达修波得!$A$2:$A$13),2,FALSE))</f>
        <v>磊</v>
      </c>
      <c r="H17" s="31" t="str">
        <f t="shared" ca="1" si="1"/>
        <v>二2磊</v>
      </c>
    </row>
    <row r="18" spans="1:8" x14ac:dyDescent="0.2">
      <c r="A18" s="46" t="s">
        <v>68</v>
      </c>
      <c r="B18" s="46" t="s">
        <v>135</v>
      </c>
      <c r="F18" s="31" t="str">
        <f ca="1">IF(OR(OR($A18="",$B18=""),AND($C18&lt;&gt;"",$D18&lt;&gt;"")),"",VLOOKUP(A18,IF({1,0},INDIRECT("达修波得!$"&amp;$E$1&amp;"$2:$"&amp;$E$1&amp;"$15"),达修波得!$A$2:$A$13),2,FALSE))</f>
        <v>爷2</v>
      </c>
      <c r="G18" s="31" t="str">
        <f ca="1">IF(OR(OR($A18="",$B18=""),AND($C18&lt;&gt;"",$D18&lt;&gt;"")),"",VLOOKUP(B18,IF({1,0},INDIRECT("达修波得!$"&amp;$E$1&amp;"$2:$"&amp;$E$1&amp;"$15"),达修波得!$A$2:$A$13),2,FALSE))</f>
        <v>贝</v>
      </c>
      <c r="H18" s="31" t="str">
        <f t="shared" ca="1" si="1"/>
        <v>爷2贝</v>
      </c>
    </row>
    <row r="19" spans="1:8" x14ac:dyDescent="0.2">
      <c r="A19" s="4" t="s">
        <v>13</v>
      </c>
      <c r="C19" s="5"/>
      <c r="D19" s="5"/>
      <c r="F19" s="31" t="str">
        <f ca="1">IF(OR(OR($A19="",$B19=""),AND($C19&lt;&gt;"",$D19&lt;&gt;"")),"",VLOOKUP(A19,IF({1,0},INDIRECT("达修波得!$"&amp;$E$1&amp;"$2:$"&amp;$E$1&amp;"$15"),达修波得!$A$2:$A$13),2,FALSE))</f>
        <v/>
      </c>
      <c r="G19" s="31" t="str">
        <f ca="1">IF(OR(OR($A19="",$B19=""),AND($C19&lt;&gt;"",$D19&lt;&gt;"")),"",VLOOKUP(B19,IF({1,0},INDIRECT("达修波得!$"&amp;$E$1&amp;"$2:$"&amp;$E$1&amp;"$15"),达修波得!$A$2:$A$13),2,FALSE))</f>
        <v/>
      </c>
      <c r="H19" s="31" t="str">
        <f t="shared" ca="1" si="1"/>
        <v/>
      </c>
    </row>
    <row r="20" spans="1:8" x14ac:dyDescent="0.2">
      <c r="A20" t="s">
        <v>151</v>
      </c>
      <c r="B20" t="s">
        <v>62</v>
      </c>
      <c r="C20">
        <v>2</v>
      </c>
      <c r="D20">
        <v>1</v>
      </c>
      <c r="F20" s="31" t="str">
        <f ca="1">IF(OR(OR($A20="",$B20=""),AND($C20&lt;&gt;"",$D20&lt;&gt;"")),"",VLOOKUP(A20,IF({1,0},INDIRECT("达修波得!$"&amp;$E$1&amp;"$2:$"&amp;$E$1&amp;"$15"),达修波得!$A$2:$A$13),2,FALSE))</f>
        <v/>
      </c>
      <c r="G20" s="31" t="str">
        <f ca="1">IF(OR(OR($A20="",$B20=""),AND($C20&lt;&gt;"",$D20&lt;&gt;"")),"",VLOOKUP(B20,IF({1,0},INDIRECT("达修波得!$"&amp;$E$1&amp;"$2:$"&amp;$E$1&amp;"$15"),达修波得!$A$2:$A$13),2,FALSE))</f>
        <v/>
      </c>
      <c r="H20" s="31" t="str">
        <f t="shared" ca="1" si="1"/>
        <v/>
      </c>
    </row>
    <row r="21" spans="1:8" x14ac:dyDescent="0.2">
      <c r="A21" t="s">
        <v>129</v>
      </c>
      <c r="B21" t="s">
        <v>155</v>
      </c>
      <c r="C21">
        <v>1</v>
      </c>
      <c r="D21">
        <v>1</v>
      </c>
      <c r="F21" s="31" t="str">
        <f ca="1">IF(OR(OR($A21="",$B21=""),AND($C21&lt;&gt;"",$D21&lt;&gt;"")),"",VLOOKUP(A21,IF({1,0},INDIRECT("达修波得!$"&amp;$E$1&amp;"$2:$"&amp;$E$1&amp;"$15"),达修波得!$A$2:$A$13),2,FALSE))</f>
        <v/>
      </c>
      <c r="G21" s="31" t="str">
        <f ca="1">IF(OR(OR($A21="",$B21=""),AND($C21&lt;&gt;"",$D21&lt;&gt;"")),"",VLOOKUP(B21,IF({1,0},INDIRECT("达修波得!$"&amp;$E$1&amp;"$2:$"&amp;$E$1&amp;"$15"),达修波得!$A$2:$A$13),2,FALSE))</f>
        <v/>
      </c>
      <c r="H21" s="31" t="str">
        <f t="shared" ca="1" si="1"/>
        <v/>
      </c>
    </row>
    <row r="22" spans="1:8" x14ac:dyDescent="0.2">
      <c r="A22" t="s">
        <v>12</v>
      </c>
      <c r="B22" t="s">
        <v>132</v>
      </c>
      <c r="C22">
        <v>0</v>
      </c>
      <c r="D22">
        <v>1</v>
      </c>
      <c r="F22" s="31" t="str">
        <f ca="1">IF(OR(OR($A22="",$B22=""),AND($C22&lt;&gt;"",$D22&lt;&gt;"")),"",VLOOKUP(A22,IF({1,0},INDIRECT("达修波得!$"&amp;$E$1&amp;"$2:$"&amp;$E$1&amp;"$15"),达修波得!$A$2:$A$13),2,FALSE))</f>
        <v/>
      </c>
      <c r="G22" s="31" t="str">
        <f ca="1">IF(OR(OR($A22="",$B22=""),AND($C22&lt;&gt;"",$D22&lt;&gt;"")),"",VLOOKUP(B22,IF({1,0},INDIRECT("达修波得!$"&amp;$E$1&amp;"$2:$"&amp;$E$1&amp;"$15"),达修波得!$A$2:$A$13),2,FALSE))</f>
        <v/>
      </c>
      <c r="H22" s="31" t="str">
        <f t="shared" ca="1" si="1"/>
        <v/>
      </c>
    </row>
    <row r="23" spans="1:8" x14ac:dyDescent="0.2">
      <c r="A23" t="s">
        <v>144</v>
      </c>
      <c r="B23" t="s">
        <v>135</v>
      </c>
      <c r="F23" s="31" t="str">
        <f ca="1">IF(OR(OR($A23="",$B23=""),AND($C23&lt;&gt;"",$D23&lt;&gt;"")),"",VLOOKUP(A23,IF({1,0},INDIRECT("达修波得!$"&amp;$E$1&amp;"$2:$"&amp;$E$1&amp;"$15"),达修波得!$A$2:$A$13),2,FALSE))</f>
        <v>贝2</v>
      </c>
      <c r="G23" s="31" t="str">
        <f ca="1">IF(OR(OR($A23="",$B23=""),AND($C23&lt;&gt;"",$D23&lt;&gt;"")),"",VLOOKUP(B23,IF({1,0},INDIRECT("达修波得!$"&amp;$E$1&amp;"$2:$"&amp;$E$1&amp;"$15"),达修波得!$A$2:$A$13),2,FALSE))</f>
        <v>贝</v>
      </c>
      <c r="H23" s="31" t="str">
        <f t="shared" ca="1" si="1"/>
        <v>贝2贝</v>
      </c>
    </row>
    <row r="24" spans="1:8" x14ac:dyDescent="0.2">
      <c r="A24" s="46" t="s">
        <v>138</v>
      </c>
      <c r="B24" s="46" t="s">
        <v>68</v>
      </c>
      <c r="C24">
        <v>2</v>
      </c>
      <c r="D24">
        <v>2</v>
      </c>
      <c r="F24" s="31" t="str">
        <f ca="1">IF(OR(OR($A24="",$B24=""),AND($C24&lt;&gt;"",$D24&lt;&gt;"")),"",VLOOKUP(A24,IF({1,0},INDIRECT("达修波得!$"&amp;$E$1&amp;"$2:$"&amp;$E$1&amp;"$15"),达修波得!$A$2:$A$13),2,FALSE))</f>
        <v/>
      </c>
      <c r="G24" s="31" t="str">
        <f ca="1">IF(OR(OR($A24="",$B24=""),AND($C24&lt;&gt;"",$D24&lt;&gt;"")),"",VLOOKUP(B24,IF({1,0},INDIRECT("达修波得!$"&amp;$E$1&amp;"$2:$"&amp;$E$1&amp;"$15"),达修波得!$A$2:$A$13),2,FALSE))</f>
        <v/>
      </c>
      <c r="H24" s="31" t="str">
        <f t="shared" ca="1" si="1"/>
        <v/>
      </c>
    </row>
    <row r="25" spans="1:8" x14ac:dyDescent="0.2">
      <c r="A25" s="4" t="s">
        <v>14</v>
      </c>
      <c r="C25" s="5"/>
      <c r="D25" s="5"/>
      <c r="F25" s="31" t="str">
        <f ca="1">IF(OR(OR($A25="",$B25=""),AND($C25&lt;&gt;"",$D25&lt;&gt;"")),"",VLOOKUP(A25,IF({1,0},INDIRECT("达修波得!$"&amp;$E$1&amp;"$2:$"&amp;$E$1&amp;"$15"),达修波得!$A$2:$A$13),2,FALSE))</f>
        <v/>
      </c>
      <c r="G25" s="31" t="str">
        <f ca="1">IF(OR(OR($A25="",$B25=""),AND($C25&lt;&gt;"",$D25&lt;&gt;"")),"",VLOOKUP(B25,IF({1,0},INDIRECT("达修波得!$"&amp;$E$1&amp;"$2:$"&amp;$E$1&amp;"$15"),达修波得!$A$2:$A$13),2,FALSE))</f>
        <v/>
      </c>
      <c r="H25" s="31" t="str">
        <f t="shared" ca="1" si="1"/>
        <v/>
      </c>
    </row>
    <row r="26" spans="1:8" x14ac:dyDescent="0.2">
      <c r="A26" t="s">
        <v>151</v>
      </c>
      <c r="B26" t="s">
        <v>155</v>
      </c>
      <c r="F26" s="31" t="str">
        <f ca="1">IF(OR(OR($A26="",$B26=""),AND($C26&lt;&gt;"",$D26&lt;&gt;"")),"",VLOOKUP(A26,IF({1,0},INDIRECT("达修波得!$"&amp;$E$1&amp;"$2:$"&amp;$E$1&amp;"$15"),达修波得!$A$2:$A$13),2,FALSE))</f>
        <v>磊2</v>
      </c>
      <c r="G26" s="31" t="str">
        <f ca="1">IF(OR(OR($A26="",$B26=""),AND($C26&lt;&gt;"",$D26&lt;&gt;"")),"",VLOOKUP(B26,IF({1,0},INDIRECT("达修波得!$"&amp;$E$1&amp;"$2:$"&amp;$E$1&amp;"$15"),达修波得!$A$2:$A$13),2,FALSE))</f>
        <v>二</v>
      </c>
      <c r="H26" s="31" t="str">
        <f t="shared" ca="1" si="1"/>
        <v>磊2二</v>
      </c>
    </row>
    <row r="27" spans="1:8" x14ac:dyDescent="0.2">
      <c r="A27" t="s">
        <v>62</v>
      </c>
      <c r="B27" t="s">
        <v>132</v>
      </c>
      <c r="C27">
        <v>0</v>
      </c>
      <c r="D27">
        <v>1</v>
      </c>
      <c r="F27" s="31" t="str">
        <f ca="1">IF(OR(OR($A27="",$B27=""),AND($C27&lt;&gt;"",$D27&lt;&gt;"")),"",VLOOKUP(A27,IF({1,0},INDIRECT("达修波得!$"&amp;$E$1&amp;"$2:$"&amp;$E$1&amp;"$15"),达修波得!$A$2:$A$13),2,FALSE))</f>
        <v/>
      </c>
      <c r="G27" s="31" t="str">
        <f ca="1">IF(OR(OR($A27="",$B27=""),AND($C27&lt;&gt;"",$D27&lt;&gt;"")),"",VLOOKUP(B27,IF({1,0},INDIRECT("达修波得!$"&amp;$E$1&amp;"$2:$"&amp;$E$1&amp;"$15"),达修波得!$A$2:$A$13),2,FALSE))</f>
        <v/>
      </c>
      <c r="H27" s="31" t="str">
        <f t="shared" ca="1" si="1"/>
        <v/>
      </c>
    </row>
    <row r="28" spans="1:8" x14ac:dyDescent="0.2">
      <c r="A28" t="s">
        <v>129</v>
      </c>
      <c r="B28" t="s">
        <v>135</v>
      </c>
      <c r="F28" s="31" t="str">
        <f ca="1">IF(OR(OR($A28="",$B28=""),AND($C28&lt;&gt;"",$D28&lt;&gt;"")),"",VLOOKUP(A28,IF({1,0},INDIRECT("达修波得!$"&amp;$E$1&amp;"$2:$"&amp;$E$1&amp;"$15"),达修波得!$A$2:$A$13),2,FALSE))</f>
        <v>爷</v>
      </c>
      <c r="G28" s="31" t="str">
        <f ca="1">IF(OR(OR($A28="",$B28=""),AND($C28&lt;&gt;"",$D28&lt;&gt;"")),"",VLOOKUP(B28,IF({1,0},INDIRECT("达修波得!$"&amp;$E$1&amp;"$2:$"&amp;$E$1&amp;"$15"),达修波得!$A$2:$A$13),2,FALSE))</f>
        <v>贝</v>
      </c>
      <c r="H28" s="31" t="str">
        <f t="shared" ca="1" si="1"/>
        <v>爷贝</v>
      </c>
    </row>
    <row r="29" spans="1:8" x14ac:dyDescent="0.2">
      <c r="A29" t="s">
        <v>12</v>
      </c>
      <c r="B29" t="s">
        <v>68</v>
      </c>
      <c r="F29" s="31" t="str">
        <f ca="1">IF(OR(OR($A29="",$B29=""),AND($C29&lt;&gt;"",$D29&lt;&gt;"")),"",VLOOKUP(A29,IF({1,0},INDIRECT("达修波得!$"&amp;$E$1&amp;"$2:$"&amp;$E$1&amp;"$15"),达修波得!$A$2:$A$13),2,FALSE))</f>
        <v>宇</v>
      </c>
      <c r="G29" s="31" t="str">
        <f ca="1">IF(OR(OR($A29="",$B29=""),AND($C29&lt;&gt;"",$D29&lt;&gt;"")),"",VLOOKUP(B29,IF({1,0},INDIRECT("达修波得!$"&amp;$E$1&amp;"$2:$"&amp;$E$1&amp;"$15"),达修波得!$A$2:$A$13),2,FALSE))</f>
        <v>爷2</v>
      </c>
      <c r="H29" s="31" t="str">
        <f t="shared" ca="1" si="1"/>
        <v>宇爷2</v>
      </c>
    </row>
    <row r="30" spans="1:8" x14ac:dyDescent="0.2">
      <c r="A30" s="46" t="s">
        <v>144</v>
      </c>
      <c r="B30" s="46" t="s">
        <v>138</v>
      </c>
      <c r="F30" s="31" t="str">
        <f ca="1">IF(OR(OR($A30="",$B30=""),AND($C30&lt;&gt;"",$D30&lt;&gt;"")),"",VLOOKUP(A30,IF({1,0},INDIRECT("达修波得!$"&amp;$E$1&amp;"$2:$"&amp;$E$1&amp;"$15"),达修波得!$A$2:$A$13),2,FALSE))</f>
        <v>贝2</v>
      </c>
      <c r="G30" s="31" t="str">
        <f ca="1">IF(OR(OR($A30="",$B30=""),AND($C30&lt;&gt;"",$D30&lt;&gt;"")),"",VLOOKUP(B30,IF({1,0},INDIRECT("达修波得!$"&amp;$E$1&amp;"$2:$"&amp;$E$1&amp;"$15"),达修波得!$A$2:$A$13),2,FALSE))</f>
        <v>二2</v>
      </c>
      <c r="H30" s="31" t="str">
        <f t="shared" ca="1" si="1"/>
        <v>贝2二2</v>
      </c>
    </row>
    <row r="31" spans="1:8" x14ac:dyDescent="0.2">
      <c r="A31" s="4" t="s">
        <v>15</v>
      </c>
      <c r="C31" s="5"/>
      <c r="D31" s="5"/>
      <c r="F31" s="31" t="str">
        <f ca="1">IF(OR(OR($A31="",$B31=""),AND($C31&lt;&gt;"",$D31&lt;&gt;"")),"",VLOOKUP(A31,IF({1,0},INDIRECT("达修波得!$"&amp;$E$1&amp;"$2:$"&amp;$E$1&amp;"$15"),达修波得!$A$2:$A$13),2,FALSE))</f>
        <v/>
      </c>
      <c r="G31" s="31" t="str">
        <f ca="1">IF(OR(OR($A31="",$B31=""),AND($C31&lt;&gt;"",$D31&lt;&gt;"")),"",VLOOKUP(B31,IF({1,0},INDIRECT("达修波得!$"&amp;$E$1&amp;"$2:$"&amp;$E$1&amp;"$15"),达修波得!$A$2:$A$13),2,FALSE))</f>
        <v/>
      </c>
      <c r="H31" s="31" t="str">
        <f t="shared" ca="1" si="1"/>
        <v/>
      </c>
    </row>
    <row r="32" spans="1:8" x14ac:dyDescent="0.2">
      <c r="A32" t="s">
        <v>151</v>
      </c>
      <c r="B32" t="s">
        <v>132</v>
      </c>
      <c r="F32" s="31" t="str">
        <f ca="1">IF(OR(OR($A32="",$B32=""),AND($C32&lt;&gt;"",$D32&lt;&gt;"")),"",VLOOKUP(A32,IF({1,0},INDIRECT("达修波得!$"&amp;$E$1&amp;"$2:$"&amp;$E$1&amp;"$15"),达修波得!$A$2:$A$13),2,FALSE))</f>
        <v>磊2</v>
      </c>
      <c r="G32" s="31" t="str">
        <f ca="1">IF(OR(OR($A32="",$B32=""),AND($C32&lt;&gt;"",$D32&lt;&gt;"")),"",VLOOKUP(B32,IF({1,0},INDIRECT("达修波得!$"&amp;$E$1&amp;"$2:$"&amp;$E$1&amp;"$15"),达修波得!$A$2:$A$13),2,FALSE))</f>
        <v>磊</v>
      </c>
      <c r="H32" s="31" t="str">
        <f t="shared" ca="1" si="1"/>
        <v>磊2磊</v>
      </c>
    </row>
    <row r="33" spans="1:8" x14ac:dyDescent="0.2">
      <c r="A33" t="s">
        <v>155</v>
      </c>
      <c r="B33" t="s">
        <v>135</v>
      </c>
      <c r="F33" s="31" t="str">
        <f ca="1">IF(OR(OR($A33="",$B33=""),AND($C33&lt;&gt;"",$D33&lt;&gt;"")),"",VLOOKUP(A33,IF({1,0},INDIRECT("达修波得!$"&amp;$E$1&amp;"$2:$"&amp;$E$1&amp;"$15"),达修波得!$A$2:$A$13),2,FALSE))</f>
        <v>二</v>
      </c>
      <c r="G33" s="31" t="str">
        <f ca="1">IF(OR(OR($A33="",$B33=""),AND($C33&lt;&gt;"",$D33&lt;&gt;"")),"",VLOOKUP(B33,IF({1,0},INDIRECT("达修波得!$"&amp;$E$1&amp;"$2:$"&amp;$E$1&amp;"$15"),达修波得!$A$2:$A$13),2,FALSE))</f>
        <v>贝</v>
      </c>
      <c r="H33" s="31" t="str">
        <f t="shared" ca="1" si="1"/>
        <v>二贝</v>
      </c>
    </row>
    <row r="34" spans="1:8" x14ac:dyDescent="0.2">
      <c r="A34" t="s">
        <v>62</v>
      </c>
      <c r="B34" t="s">
        <v>68</v>
      </c>
      <c r="F34" s="31" t="str">
        <f ca="1">IF(OR(OR($A34="",$B34=""),AND($C34&lt;&gt;"",$D34&lt;&gt;"")),"",VLOOKUP(A34,IF({1,0},INDIRECT("达修波得!$"&amp;$E$1&amp;"$2:$"&amp;$E$1&amp;"$15"),达修波得!$A$2:$A$13),2,FALSE))</f>
        <v>宇2</v>
      </c>
      <c r="G34" s="31" t="str">
        <f ca="1">IF(OR(OR($A34="",$B34=""),AND($C34&lt;&gt;"",$D34&lt;&gt;"")),"",VLOOKUP(B34,IF({1,0},INDIRECT("达修波得!$"&amp;$E$1&amp;"$2:$"&amp;$E$1&amp;"$15"),达修波得!$A$2:$A$13),2,FALSE))</f>
        <v>爷2</v>
      </c>
      <c r="H34" s="31" t="str">
        <f t="shared" ca="1" si="1"/>
        <v>宇2爷2</v>
      </c>
    </row>
    <row r="35" spans="1:8" x14ac:dyDescent="0.2">
      <c r="A35" t="s">
        <v>129</v>
      </c>
      <c r="B35" t="s">
        <v>138</v>
      </c>
      <c r="F35" s="31" t="str">
        <f ca="1">IF(OR(OR($A35="",$B35=""),AND($C35&lt;&gt;"",$D35&lt;&gt;"")),"",VLOOKUP(A35,IF({1,0},INDIRECT("达修波得!$"&amp;$E$1&amp;"$2:$"&amp;$E$1&amp;"$15"),达修波得!$A$2:$A$13),2,FALSE))</f>
        <v>爷</v>
      </c>
      <c r="G35" s="31" t="str">
        <f ca="1">IF(OR(OR($A35="",$B35=""),AND($C35&lt;&gt;"",$D35&lt;&gt;"")),"",VLOOKUP(B35,IF({1,0},INDIRECT("达修波得!$"&amp;$E$1&amp;"$2:$"&amp;$E$1&amp;"$15"),达修波得!$A$2:$A$13),2,FALSE))</f>
        <v>二2</v>
      </c>
      <c r="H35" s="31" t="str">
        <f t="shared" ca="1" si="1"/>
        <v>爷二2</v>
      </c>
    </row>
    <row r="36" spans="1:8" x14ac:dyDescent="0.2">
      <c r="A36" s="46" t="s">
        <v>12</v>
      </c>
      <c r="B36" s="46" t="s">
        <v>144</v>
      </c>
      <c r="C36">
        <v>0</v>
      </c>
      <c r="D36">
        <v>3</v>
      </c>
      <c r="F36" s="31" t="str">
        <f ca="1">IF(OR(OR($A36="",$B36=""),AND($C36&lt;&gt;"",$D36&lt;&gt;"")),"",VLOOKUP(A36,IF({1,0},INDIRECT("达修波得!$"&amp;$E$1&amp;"$2:$"&amp;$E$1&amp;"$15"),达修波得!$A$2:$A$13),2,FALSE))</f>
        <v/>
      </c>
      <c r="G36" s="31" t="str">
        <f ca="1">IF(OR(OR($A36="",$B36=""),AND($C36&lt;&gt;"",$D36&lt;&gt;"")),"",VLOOKUP(B36,IF({1,0},INDIRECT("达修波得!$"&amp;$E$1&amp;"$2:$"&amp;$E$1&amp;"$15"),达修波得!$A$2:$A$13),2,FALSE))</f>
        <v/>
      </c>
      <c r="H36" s="31" t="str">
        <f t="shared" ca="1" si="1"/>
        <v/>
      </c>
    </row>
    <row r="37" spans="1:8" x14ac:dyDescent="0.2">
      <c r="A37" s="4" t="s">
        <v>16</v>
      </c>
      <c r="C37" s="5"/>
      <c r="D37" s="5"/>
      <c r="F37" s="31" t="str">
        <f ca="1">IF(OR(OR($A37="",$B37=""),AND($C37&lt;&gt;"",$D37&lt;&gt;"")),"",VLOOKUP(A37,IF({1,0},INDIRECT("达修波得!$"&amp;$E$1&amp;"$2:$"&amp;$E$1&amp;"$15"),达修波得!$A$2:$A$13),2,FALSE))</f>
        <v/>
      </c>
      <c r="G37" s="31" t="str">
        <f ca="1">IF(OR(OR($A37="",$B37=""),AND($C37&lt;&gt;"",$D37&lt;&gt;"")),"",VLOOKUP(B37,IF({1,0},INDIRECT("达修波得!$"&amp;$E$1&amp;"$2:$"&amp;$E$1&amp;"$15"),达修波得!$A$2:$A$13),2,FALSE))</f>
        <v/>
      </c>
      <c r="H37" s="31" t="str">
        <f t="shared" ca="1" si="1"/>
        <v/>
      </c>
    </row>
    <row r="38" spans="1:8" x14ac:dyDescent="0.2">
      <c r="A38" t="s">
        <v>151</v>
      </c>
      <c r="B38" t="s">
        <v>135</v>
      </c>
      <c r="F38" s="31" t="str">
        <f ca="1">IF(OR(OR($A38="",$B38=""),AND($C38&lt;&gt;"",$D38&lt;&gt;"")),"",VLOOKUP(A38,IF({1,0},INDIRECT("达修波得!$"&amp;$E$1&amp;"$2:$"&amp;$E$1&amp;"$15"),达修波得!$A$2:$A$13),2,FALSE))</f>
        <v>磊2</v>
      </c>
      <c r="G38" s="31" t="str">
        <f ca="1">IF(OR(OR($A38="",$B38=""),AND($C38&lt;&gt;"",$D38&lt;&gt;"")),"",VLOOKUP(B38,IF({1,0},INDIRECT("达修波得!$"&amp;$E$1&amp;"$2:$"&amp;$E$1&amp;"$15"),达修波得!$A$2:$A$13),2,FALSE))</f>
        <v>贝</v>
      </c>
      <c r="H38" s="31" t="str">
        <f t="shared" ca="1" si="1"/>
        <v>磊2贝</v>
      </c>
    </row>
    <row r="39" spans="1:8" x14ac:dyDescent="0.2">
      <c r="A39" t="s">
        <v>132</v>
      </c>
      <c r="B39" t="s">
        <v>68</v>
      </c>
      <c r="F39" s="31" t="str">
        <f ca="1">IF(OR(OR($A39="",$B39=""),AND($C39&lt;&gt;"",$D39&lt;&gt;"")),"",VLOOKUP(A39,IF({1,0},INDIRECT("达修波得!$"&amp;$E$1&amp;"$2:$"&amp;$E$1&amp;"$15"),达修波得!$A$2:$A$13),2,FALSE))</f>
        <v>磊</v>
      </c>
      <c r="G39" s="31" t="str">
        <f ca="1">IF(OR(OR($A39="",$B39=""),AND($C39&lt;&gt;"",$D39&lt;&gt;"")),"",VLOOKUP(B39,IF({1,0},INDIRECT("达修波得!$"&amp;$E$1&amp;"$2:$"&amp;$E$1&amp;"$15"),达修波得!$A$2:$A$13),2,FALSE))</f>
        <v>爷2</v>
      </c>
      <c r="H39" s="31" t="str">
        <f t="shared" ca="1" si="1"/>
        <v>磊爷2</v>
      </c>
    </row>
    <row r="40" spans="1:8" x14ac:dyDescent="0.2">
      <c r="A40" t="s">
        <v>155</v>
      </c>
      <c r="B40" t="s">
        <v>138</v>
      </c>
      <c r="F40" s="31" t="str">
        <f ca="1">IF(OR(OR($A40="",$B40=""),AND($C40&lt;&gt;"",$D40&lt;&gt;"")),"",VLOOKUP(A40,IF({1,0},INDIRECT("达修波得!$"&amp;$E$1&amp;"$2:$"&amp;$E$1&amp;"$15"),达修波得!$A$2:$A$13),2,FALSE))</f>
        <v>二</v>
      </c>
      <c r="G40" s="31" t="str">
        <f ca="1">IF(OR(OR($A40="",$B40=""),AND($C40&lt;&gt;"",$D40&lt;&gt;"")),"",VLOOKUP(B40,IF({1,0},INDIRECT("达修波得!$"&amp;$E$1&amp;"$2:$"&amp;$E$1&amp;"$15"),达修波得!$A$2:$A$13),2,FALSE))</f>
        <v>二2</v>
      </c>
      <c r="H40" s="31" t="str">
        <f t="shared" ca="1" si="1"/>
        <v>二二2</v>
      </c>
    </row>
    <row r="41" spans="1:8" x14ac:dyDescent="0.2">
      <c r="A41" t="s">
        <v>62</v>
      </c>
      <c r="B41" t="s">
        <v>144</v>
      </c>
      <c r="C41">
        <v>1</v>
      </c>
      <c r="D41">
        <v>3</v>
      </c>
      <c r="F41" s="31" t="str">
        <f ca="1">IF(OR(OR($A41="",$B41=""),AND($C41&lt;&gt;"",$D41&lt;&gt;"")),"",VLOOKUP(A41,IF({1,0},INDIRECT("达修波得!$"&amp;$E$1&amp;"$2:$"&amp;$E$1&amp;"$15"),达修波得!$A$2:$A$13),2,FALSE))</f>
        <v/>
      </c>
      <c r="G41" s="31" t="str">
        <f ca="1">IF(OR(OR($A41="",$B41=""),AND($C41&lt;&gt;"",$D41&lt;&gt;"")),"",VLOOKUP(B41,IF({1,0},INDIRECT("达修波得!$"&amp;$E$1&amp;"$2:$"&amp;$E$1&amp;"$15"),达修波得!$A$2:$A$13),2,FALSE))</f>
        <v/>
      </c>
      <c r="H41" s="31" t="str">
        <f t="shared" ca="1" si="1"/>
        <v/>
      </c>
    </row>
    <row r="42" spans="1:8" x14ac:dyDescent="0.2">
      <c r="A42" s="46" t="s">
        <v>129</v>
      </c>
      <c r="B42" s="46" t="s">
        <v>12</v>
      </c>
      <c r="F42" s="31" t="str">
        <f ca="1">IF(OR(OR($A42="",$B42=""),AND($C42&lt;&gt;"",$D42&lt;&gt;"")),"",VLOOKUP(A42,IF({1,0},INDIRECT("达修波得!$"&amp;$E$1&amp;"$2:$"&amp;$E$1&amp;"$15"),达修波得!$A$2:$A$13),2,FALSE))</f>
        <v>爷</v>
      </c>
      <c r="G42" s="31" t="str">
        <f ca="1">IF(OR(OR($A42="",$B42=""),AND($C42&lt;&gt;"",$D42&lt;&gt;"")),"",VLOOKUP(B42,IF({1,0},INDIRECT("达修波得!$"&amp;$E$1&amp;"$2:$"&amp;$E$1&amp;"$15"),达修波得!$A$2:$A$13),2,FALSE))</f>
        <v>宇</v>
      </c>
      <c r="H42" s="31" t="str">
        <f t="shared" ca="1" si="1"/>
        <v>爷宇</v>
      </c>
    </row>
    <row r="43" spans="1:8" x14ac:dyDescent="0.2">
      <c r="A43" s="4" t="s">
        <v>27</v>
      </c>
      <c r="C43" s="5"/>
      <c r="D43" s="5"/>
      <c r="F43" s="31" t="str">
        <f ca="1">IF(OR(OR($A43="",$B43=""),AND($C43&lt;&gt;"",$D43&lt;&gt;"")),"",VLOOKUP(A43,IF({1,0},INDIRECT("达修波得!$"&amp;$E$1&amp;"$2:$"&amp;$E$1&amp;"$15"),达修波得!$A$2:$A$13),2,FALSE))</f>
        <v/>
      </c>
      <c r="G43" s="31" t="str">
        <f ca="1">IF(OR(OR($A43="",$B43=""),AND($C43&lt;&gt;"",$D43&lt;&gt;"")),"",VLOOKUP(B43,IF({1,0},INDIRECT("达修波得!$"&amp;$E$1&amp;"$2:$"&amp;$E$1&amp;"$15"),达修波得!$A$2:$A$13),2,FALSE))</f>
        <v/>
      </c>
      <c r="H43" s="31" t="str">
        <f t="shared" ca="1" si="1"/>
        <v/>
      </c>
    </row>
    <row r="44" spans="1:8" x14ac:dyDescent="0.2">
      <c r="A44" t="s">
        <v>151</v>
      </c>
      <c r="B44" t="s">
        <v>68</v>
      </c>
      <c r="F44" s="31" t="str">
        <f ca="1">IF(OR(OR($A44="",$B44=""),AND($C44&lt;&gt;"",$D44&lt;&gt;"")),"",VLOOKUP(A44,IF({1,0},INDIRECT("达修波得!$"&amp;$E$1&amp;"$2:$"&amp;$E$1&amp;"$15"),达修波得!$A$2:$A$13),2,FALSE))</f>
        <v>磊2</v>
      </c>
      <c r="G44" s="31" t="str">
        <f ca="1">IF(OR(OR($A44="",$B44=""),AND($C44&lt;&gt;"",$D44&lt;&gt;"")),"",VLOOKUP(B44,IF({1,0},INDIRECT("达修波得!$"&amp;$E$1&amp;"$2:$"&amp;$E$1&amp;"$15"),达修波得!$A$2:$A$13),2,FALSE))</f>
        <v>爷2</v>
      </c>
      <c r="H44" s="31" t="str">
        <f t="shared" ca="1" si="1"/>
        <v>磊2爷2</v>
      </c>
    </row>
    <row r="45" spans="1:8" x14ac:dyDescent="0.2">
      <c r="A45" t="s">
        <v>135</v>
      </c>
      <c r="B45" t="s">
        <v>138</v>
      </c>
      <c r="C45">
        <v>1</v>
      </c>
      <c r="D45">
        <v>1</v>
      </c>
      <c r="F45" s="31" t="str">
        <f ca="1">IF(OR(OR($A45="",$B45=""),AND($C45&lt;&gt;"",$D45&lt;&gt;"")),"",VLOOKUP(A45,IF({1,0},INDIRECT("达修波得!$"&amp;$E$1&amp;"$2:$"&amp;$E$1&amp;"$15"),达修波得!$A$2:$A$13),2,FALSE))</f>
        <v/>
      </c>
      <c r="G45" s="31" t="str">
        <f ca="1">IF(OR(OR($A45="",$B45=""),AND($C45&lt;&gt;"",$D45&lt;&gt;"")),"",VLOOKUP(B45,IF({1,0},INDIRECT("达修波得!$"&amp;$E$1&amp;"$2:$"&amp;$E$1&amp;"$15"),达修波得!$A$2:$A$13),2,FALSE))</f>
        <v/>
      </c>
      <c r="H45" s="31" t="str">
        <f t="shared" ca="1" si="1"/>
        <v/>
      </c>
    </row>
    <row r="46" spans="1:8" x14ac:dyDescent="0.2">
      <c r="A46" t="s">
        <v>132</v>
      </c>
      <c r="B46" t="s">
        <v>144</v>
      </c>
      <c r="C46">
        <v>2</v>
      </c>
      <c r="D46">
        <v>3</v>
      </c>
      <c r="F46" s="31" t="str">
        <f ca="1">IF(OR(OR($A46="",$B46=""),AND($C46&lt;&gt;"",$D46&lt;&gt;"")),"",VLOOKUP(A46,IF({1,0},INDIRECT("达修波得!$"&amp;$E$1&amp;"$2:$"&amp;$E$1&amp;"$15"),达修波得!$A$2:$A$13),2,FALSE))</f>
        <v/>
      </c>
      <c r="G46" s="31" t="str">
        <f ca="1">IF(OR(OR($A46="",$B46=""),AND($C46&lt;&gt;"",$D46&lt;&gt;"")),"",VLOOKUP(B46,IF({1,0},INDIRECT("达修波得!$"&amp;$E$1&amp;"$2:$"&amp;$E$1&amp;"$15"),达修波得!$A$2:$A$13),2,FALSE))</f>
        <v/>
      </c>
      <c r="H46" s="31" t="str">
        <f t="shared" ca="1" si="1"/>
        <v/>
      </c>
    </row>
    <row r="47" spans="1:8" x14ac:dyDescent="0.2">
      <c r="A47" t="s">
        <v>155</v>
      </c>
      <c r="B47" t="s">
        <v>12</v>
      </c>
      <c r="F47" s="31" t="str">
        <f ca="1">IF(OR(OR($A47="",$B47=""),AND($C47&lt;&gt;"",$D47&lt;&gt;"")),"",VLOOKUP(A47,IF({1,0},INDIRECT("达修波得!$"&amp;$E$1&amp;"$2:$"&amp;$E$1&amp;"$15"),达修波得!$A$2:$A$13),2,FALSE))</f>
        <v>二</v>
      </c>
      <c r="G47" s="31" t="str">
        <f ca="1">IF(OR(OR($A47="",$B47=""),AND($C47&lt;&gt;"",$D47&lt;&gt;"")),"",VLOOKUP(B47,IF({1,0},INDIRECT("达修波得!$"&amp;$E$1&amp;"$2:$"&amp;$E$1&amp;"$15"),达修波得!$A$2:$A$13),2,FALSE))</f>
        <v>宇</v>
      </c>
      <c r="H47" s="31" t="str">
        <f t="shared" ca="1" si="1"/>
        <v>二宇</v>
      </c>
    </row>
    <row r="48" spans="1:8" x14ac:dyDescent="0.2">
      <c r="A48" s="46" t="s">
        <v>62</v>
      </c>
      <c r="B48" s="46" t="s">
        <v>129</v>
      </c>
      <c r="F48" s="31" t="str">
        <f ca="1">IF(OR(OR($A48="",$B48=""),AND($C48&lt;&gt;"",$D48&lt;&gt;"")),"",VLOOKUP(A48,IF({1,0},INDIRECT("达修波得!$"&amp;$E$1&amp;"$2:$"&amp;$E$1&amp;"$15"),达修波得!$A$2:$A$13),2,FALSE))</f>
        <v>宇2</v>
      </c>
      <c r="G48" s="31" t="str">
        <f ca="1">IF(OR(OR($A48="",$B48=""),AND($C48&lt;&gt;"",$D48&lt;&gt;"")),"",VLOOKUP(B48,IF({1,0},INDIRECT("达修波得!$"&amp;$E$1&amp;"$2:$"&amp;$E$1&amp;"$15"),达修波得!$A$2:$A$13),2,FALSE))</f>
        <v>爷</v>
      </c>
      <c r="H48" s="31" t="str">
        <f t="shared" ca="1" si="1"/>
        <v>宇2爷</v>
      </c>
    </row>
    <row r="49" spans="1:8" x14ac:dyDescent="0.2">
      <c r="A49" s="4" t="s">
        <v>28</v>
      </c>
      <c r="C49" s="5"/>
      <c r="D49" s="5"/>
      <c r="F49" s="31" t="str">
        <f ca="1">IF(OR(OR($A49="",$B49=""),AND($C49&lt;&gt;"",$D49&lt;&gt;"")),"",VLOOKUP(A49,IF({1,0},INDIRECT("达修波得!$"&amp;$E$1&amp;"$2:$"&amp;$E$1&amp;"$15"),达修波得!$A$2:$A$13),2,FALSE))</f>
        <v/>
      </c>
      <c r="G49" s="31" t="str">
        <f ca="1">IF(OR(OR($A49="",$B49=""),AND($C49&lt;&gt;"",$D49&lt;&gt;"")),"",VLOOKUP(B49,IF({1,0},INDIRECT("达修波得!$"&amp;$E$1&amp;"$2:$"&amp;$E$1&amp;"$15"),达修波得!$A$2:$A$13),2,FALSE))</f>
        <v/>
      </c>
      <c r="H49" s="31" t="str">
        <f t="shared" ca="1" si="1"/>
        <v/>
      </c>
    </row>
    <row r="50" spans="1:8" x14ac:dyDescent="0.2">
      <c r="A50" t="s">
        <v>151</v>
      </c>
      <c r="B50" t="s">
        <v>138</v>
      </c>
      <c r="F50" s="31" t="str">
        <f ca="1">IF(OR(OR($A50="",$B50=""),AND($C50&lt;&gt;"",$D50&lt;&gt;"")),"",VLOOKUP(A50,IF({1,0},INDIRECT("达修波得!$"&amp;$E$1&amp;"$2:$"&amp;$E$1&amp;"$15"),达修波得!$A$2:$A$13),2,FALSE))</f>
        <v>磊2</v>
      </c>
      <c r="G50" s="31" t="str">
        <f ca="1">IF(OR(OR($A50="",$B50=""),AND($C50&lt;&gt;"",$D50&lt;&gt;"")),"",VLOOKUP(B50,IF({1,0},INDIRECT("达修波得!$"&amp;$E$1&amp;"$2:$"&amp;$E$1&amp;"$15"),达修波得!$A$2:$A$13),2,FALSE))</f>
        <v>二2</v>
      </c>
      <c r="H50" s="31" t="str">
        <f t="shared" ca="1" si="1"/>
        <v>磊2二2</v>
      </c>
    </row>
    <row r="51" spans="1:8" x14ac:dyDescent="0.2">
      <c r="A51" t="s">
        <v>68</v>
      </c>
      <c r="B51" t="s">
        <v>144</v>
      </c>
      <c r="F51" s="31" t="str">
        <f ca="1">IF(OR(OR($A51="",$B51=""),AND($C51&lt;&gt;"",$D51&lt;&gt;"")),"",VLOOKUP(A51,IF({1,0},INDIRECT("达修波得!$"&amp;$E$1&amp;"$2:$"&amp;$E$1&amp;"$15"),达修波得!$A$2:$A$13),2,FALSE))</f>
        <v>爷2</v>
      </c>
      <c r="G51" s="31" t="str">
        <f ca="1">IF(OR(OR($A51="",$B51=""),AND($C51&lt;&gt;"",$D51&lt;&gt;"")),"",VLOOKUP(B51,IF({1,0},INDIRECT("达修波得!$"&amp;$E$1&amp;"$2:$"&amp;$E$1&amp;"$15"),达修波得!$A$2:$A$13),2,FALSE))</f>
        <v>贝2</v>
      </c>
      <c r="H51" s="31" t="str">
        <f t="shared" ca="1" si="1"/>
        <v>爷2贝2</v>
      </c>
    </row>
    <row r="52" spans="1:8" x14ac:dyDescent="0.2">
      <c r="A52" t="s">
        <v>135</v>
      </c>
      <c r="B52" t="s">
        <v>12</v>
      </c>
      <c r="C52">
        <v>2</v>
      </c>
      <c r="D52">
        <v>2</v>
      </c>
      <c r="F52" s="31" t="str">
        <f ca="1">IF(OR(OR($A52="",$B52=""),AND($C52&lt;&gt;"",$D52&lt;&gt;"")),"",VLOOKUP(A52,IF({1,0},INDIRECT("达修波得!$"&amp;$E$1&amp;"$2:$"&amp;$E$1&amp;"$15"),达修波得!$A$2:$A$13),2,FALSE))</f>
        <v/>
      </c>
      <c r="G52" s="31" t="str">
        <f ca="1">IF(OR(OR($A52="",$B52=""),AND($C52&lt;&gt;"",$D52&lt;&gt;"")),"",VLOOKUP(B52,IF({1,0},INDIRECT("达修波得!$"&amp;$E$1&amp;"$2:$"&amp;$E$1&amp;"$15"),达修波得!$A$2:$A$13),2,FALSE))</f>
        <v/>
      </c>
      <c r="H52" s="31" t="str">
        <f t="shared" ca="1" si="1"/>
        <v/>
      </c>
    </row>
    <row r="53" spans="1:8" x14ac:dyDescent="0.2">
      <c r="A53" t="s">
        <v>132</v>
      </c>
      <c r="B53" t="s">
        <v>129</v>
      </c>
      <c r="F53" s="31" t="str">
        <f ca="1">IF(OR(OR($A53="",$B53=""),AND($C53&lt;&gt;"",$D53&lt;&gt;"")),"",VLOOKUP(A53,IF({1,0},INDIRECT("达修波得!$"&amp;$E$1&amp;"$2:$"&amp;$E$1&amp;"$15"),达修波得!$A$2:$A$13),2,FALSE))</f>
        <v>磊</v>
      </c>
      <c r="G53" s="31" t="str">
        <f ca="1">IF(OR(OR($A53="",$B53=""),AND($C53&lt;&gt;"",$D53&lt;&gt;"")),"",VLOOKUP(B53,IF({1,0},INDIRECT("达修波得!$"&amp;$E$1&amp;"$2:$"&amp;$E$1&amp;"$15"),达修波得!$A$2:$A$13),2,FALSE))</f>
        <v>爷</v>
      </c>
      <c r="H53" s="31" t="str">
        <f t="shared" ca="1" si="1"/>
        <v>磊爷</v>
      </c>
    </row>
    <row r="54" spans="1:8" x14ac:dyDescent="0.2">
      <c r="A54" s="46" t="s">
        <v>155</v>
      </c>
      <c r="B54" s="46" t="s">
        <v>62</v>
      </c>
      <c r="C54">
        <v>2</v>
      </c>
      <c r="D54">
        <v>1</v>
      </c>
      <c r="F54" s="31" t="str">
        <f ca="1">IF(OR(OR($A54="",$B54=""),AND($C54&lt;&gt;"",$D54&lt;&gt;"")),"",VLOOKUP(A54,IF({1,0},INDIRECT("达修波得!$"&amp;$E$1&amp;"$2:$"&amp;$E$1&amp;"$15"),达修波得!$A$2:$A$13),2,FALSE))</f>
        <v/>
      </c>
      <c r="G54" s="31" t="str">
        <f ca="1">IF(OR(OR($A54="",$B54=""),AND($C54&lt;&gt;"",$D54&lt;&gt;"")),"",VLOOKUP(B54,IF({1,0},INDIRECT("达修波得!$"&amp;$E$1&amp;"$2:$"&amp;$E$1&amp;"$15"),达修波得!$A$2:$A$13),2,FALSE))</f>
        <v/>
      </c>
      <c r="H54" s="31" t="str">
        <f t="shared" ca="1" si="1"/>
        <v/>
      </c>
    </row>
    <row r="55" spans="1:8" x14ac:dyDescent="0.2">
      <c r="A55" s="4" t="s">
        <v>29</v>
      </c>
      <c r="C55" s="5"/>
      <c r="D55" s="5"/>
      <c r="F55" s="31" t="str">
        <f ca="1">IF(OR(OR($A55="",$B55=""),AND($C55&lt;&gt;"",$D55&lt;&gt;"")),"",VLOOKUP(A55,IF({1,0},INDIRECT("达修波得!$"&amp;$E$1&amp;"$2:$"&amp;$E$1&amp;"$15"),达修波得!$A$2:$A$13),2,FALSE))</f>
        <v/>
      </c>
      <c r="G55" s="31" t="str">
        <f ca="1">IF(OR(OR($A55="",$B55=""),AND($C55&lt;&gt;"",$D55&lt;&gt;"")),"",VLOOKUP(B55,IF({1,0},INDIRECT("达修波得!$"&amp;$E$1&amp;"$2:$"&amp;$E$1&amp;"$15"),达修波得!$A$2:$A$13),2,FALSE))</f>
        <v/>
      </c>
      <c r="H55" s="31" t="str">
        <f t="shared" ca="1" si="1"/>
        <v/>
      </c>
    </row>
    <row r="56" spans="1:8" x14ac:dyDescent="0.2">
      <c r="A56" t="s">
        <v>144</v>
      </c>
      <c r="B56" t="s">
        <v>151</v>
      </c>
      <c r="F56" s="31" t="str">
        <f ca="1">IF(OR(OR($A56="",$B56=""),AND($C56&lt;&gt;"",$D56&lt;&gt;"")),"",VLOOKUP(A56,IF({1,0},INDIRECT("达修波得!$"&amp;$E$1&amp;"$2:$"&amp;$E$1&amp;"$15"),达修波得!$A$2:$A$13),2,FALSE))</f>
        <v>贝2</v>
      </c>
      <c r="G56" s="31" t="str">
        <f ca="1">IF(OR(OR($A56="",$B56=""),AND($C56&lt;&gt;"",$D56&lt;&gt;"")),"",VLOOKUP(B56,IF({1,0},INDIRECT("达修波得!$"&amp;$E$1&amp;"$2:$"&amp;$E$1&amp;"$15"),达修波得!$A$2:$A$13),2,FALSE))</f>
        <v>磊2</v>
      </c>
      <c r="H56" s="31" t="str">
        <f t="shared" ca="1" si="1"/>
        <v>贝2磊2</v>
      </c>
    </row>
    <row r="57" spans="1:8" x14ac:dyDescent="0.2">
      <c r="A57" t="s">
        <v>12</v>
      </c>
      <c r="B57" t="s">
        <v>138</v>
      </c>
      <c r="F57" s="31" t="str">
        <f ca="1">IF(OR(OR($A57="",$B57=""),AND($C57&lt;&gt;"",$D57&lt;&gt;"")),"",VLOOKUP(A57,IF({1,0},INDIRECT("达修波得!$"&amp;$E$1&amp;"$2:$"&amp;$E$1&amp;"$15"),达修波得!$A$2:$A$13),2,FALSE))</f>
        <v>宇</v>
      </c>
      <c r="G57" s="31" t="str">
        <f ca="1">IF(OR(OR($A57="",$B57=""),AND($C57&lt;&gt;"",$D57&lt;&gt;"")),"",VLOOKUP(B57,IF({1,0},INDIRECT("达修波得!$"&amp;$E$1&amp;"$2:$"&amp;$E$1&amp;"$15"),达修波得!$A$2:$A$13),2,FALSE))</f>
        <v>二2</v>
      </c>
      <c r="H57" s="31" t="str">
        <f t="shared" ca="1" si="1"/>
        <v>宇二2</v>
      </c>
    </row>
    <row r="58" spans="1:8" x14ac:dyDescent="0.2">
      <c r="A58" t="s">
        <v>129</v>
      </c>
      <c r="B58" t="s">
        <v>68</v>
      </c>
      <c r="F58" s="31" t="str">
        <f ca="1">IF(OR(OR($A58="",$B58=""),AND($C58&lt;&gt;"",$D58&lt;&gt;"")),"",VLOOKUP(A58,IF({1,0},INDIRECT("达修波得!$"&amp;$E$1&amp;"$2:$"&amp;$E$1&amp;"$15"),达修波得!$A$2:$A$13),2,FALSE))</f>
        <v>爷</v>
      </c>
      <c r="G58" s="31" t="str">
        <f ca="1">IF(OR(OR($A58="",$B58=""),AND($C58&lt;&gt;"",$D58&lt;&gt;"")),"",VLOOKUP(B58,IF({1,0},INDIRECT("达修波得!$"&amp;$E$1&amp;"$2:$"&amp;$E$1&amp;"$15"),达修波得!$A$2:$A$13),2,FALSE))</f>
        <v>爷2</v>
      </c>
      <c r="H58" s="31" t="str">
        <f t="shared" ca="1" si="1"/>
        <v>爷爷2</v>
      </c>
    </row>
    <row r="59" spans="1:8" x14ac:dyDescent="0.2">
      <c r="A59" t="s">
        <v>62</v>
      </c>
      <c r="B59" t="s">
        <v>135</v>
      </c>
      <c r="F59" s="31" t="str">
        <f ca="1">IF(OR(OR($A59="",$B59=""),AND($C59&lt;&gt;"",$D59&lt;&gt;"")),"",VLOOKUP(A59,IF({1,0},INDIRECT("达修波得!$"&amp;$E$1&amp;"$2:$"&amp;$E$1&amp;"$15"),达修波得!$A$2:$A$13),2,FALSE))</f>
        <v>宇2</v>
      </c>
      <c r="G59" s="31" t="str">
        <f ca="1">IF(OR(OR($A59="",$B59=""),AND($C59&lt;&gt;"",$D59&lt;&gt;"")),"",VLOOKUP(B59,IF({1,0},INDIRECT("达修波得!$"&amp;$E$1&amp;"$2:$"&amp;$E$1&amp;"$15"),达修波得!$A$2:$A$13),2,FALSE))</f>
        <v>贝</v>
      </c>
      <c r="H59" s="31" t="str">
        <f t="shared" ca="1" si="1"/>
        <v>宇2贝</v>
      </c>
    </row>
    <row r="60" spans="1:8" x14ac:dyDescent="0.2">
      <c r="A60" s="46" t="s">
        <v>155</v>
      </c>
      <c r="B60" s="46" t="s">
        <v>132</v>
      </c>
      <c r="F60" s="31" t="str">
        <f ca="1">IF(OR(OR($A60="",$B60=""),AND($C60&lt;&gt;"",$D60&lt;&gt;"")),"",VLOOKUP(A60,IF({1,0},INDIRECT("达修波得!$"&amp;$E$1&amp;"$2:$"&amp;$E$1&amp;"$15"),达修波得!$A$2:$A$13),2,FALSE))</f>
        <v>二</v>
      </c>
      <c r="G60" s="31" t="str">
        <f ca="1">IF(OR(OR($A60="",$B60=""),AND($C60&lt;&gt;"",$D60&lt;&gt;"")),"",VLOOKUP(B60,IF({1,0},INDIRECT("达修波得!$"&amp;$E$1&amp;"$2:$"&amp;$E$1&amp;"$15"),达修波得!$A$2:$A$13),2,FALSE))</f>
        <v>磊</v>
      </c>
      <c r="H60" s="31" t="str">
        <f t="shared" ca="1" si="1"/>
        <v>二磊</v>
      </c>
    </row>
    <row r="61" spans="1:8" x14ac:dyDescent="0.2">
      <c r="A61" s="4" t="s">
        <v>30</v>
      </c>
      <c r="C61" s="5"/>
      <c r="D61" s="5"/>
      <c r="F61" s="31" t="str">
        <f ca="1">IF(OR(OR($A61="",$B61=""),AND($C61&lt;&gt;"",$D61&lt;&gt;"")),"",VLOOKUP(A61,IF({1,0},INDIRECT("达修波得!$"&amp;$E$1&amp;"$2:$"&amp;$E$1&amp;"$15"),达修波得!$A$2:$A$13),2,FALSE))</f>
        <v/>
      </c>
      <c r="G61" s="31" t="str">
        <f ca="1">IF(OR(OR($A61="",$B61=""),AND($C61&lt;&gt;"",$D61&lt;&gt;"")),"",VLOOKUP(B61,IF({1,0},INDIRECT("达修波得!$"&amp;$E$1&amp;"$2:$"&amp;$E$1&amp;"$15"),达修波得!$A$2:$A$13),2,FALSE))</f>
        <v/>
      </c>
      <c r="H61" s="31" t="str">
        <f t="shared" ca="1" si="1"/>
        <v/>
      </c>
    </row>
    <row r="62" spans="1:8" x14ac:dyDescent="0.2">
      <c r="A62" t="s">
        <v>12</v>
      </c>
      <c r="B62" t="s">
        <v>151</v>
      </c>
      <c r="F62" s="31" t="str">
        <f ca="1">IF(OR(OR($A62="",$B62=""),AND($C62&lt;&gt;"",$D62&lt;&gt;"")),"",VLOOKUP(A62,IF({1,0},INDIRECT("达修波得!$"&amp;$E$1&amp;"$2:$"&amp;$E$1&amp;"$15"),达修波得!$A$2:$A$13),2,FALSE))</f>
        <v>宇</v>
      </c>
      <c r="G62" s="31" t="str">
        <f ca="1">IF(OR(OR($A62="",$B62=""),AND($C62&lt;&gt;"",$D62&lt;&gt;"")),"",VLOOKUP(B62,IF({1,0},INDIRECT("达修波得!$"&amp;$E$1&amp;"$2:$"&amp;$E$1&amp;"$15"),达修波得!$A$2:$A$13),2,FALSE))</f>
        <v>磊2</v>
      </c>
      <c r="H62" s="31" t="str">
        <f t="shared" ca="1" si="1"/>
        <v>宇磊2</v>
      </c>
    </row>
    <row r="63" spans="1:8" x14ac:dyDescent="0.2">
      <c r="A63" t="s">
        <v>129</v>
      </c>
      <c r="B63" t="s">
        <v>144</v>
      </c>
      <c r="F63" s="31" t="str">
        <f ca="1">IF(OR(OR($A63="",$B63=""),AND($C63&lt;&gt;"",$D63&lt;&gt;"")),"",VLOOKUP(A63,IF({1,0},INDIRECT("达修波得!$"&amp;$E$1&amp;"$2:$"&amp;$E$1&amp;"$15"),达修波得!$A$2:$A$13),2,FALSE))</f>
        <v>爷</v>
      </c>
      <c r="G63" s="31" t="str">
        <f ca="1">IF(OR(OR($A63="",$B63=""),AND($C63&lt;&gt;"",$D63&lt;&gt;"")),"",VLOOKUP(B63,IF({1,0},INDIRECT("达修波得!$"&amp;$E$1&amp;"$2:$"&amp;$E$1&amp;"$15"),达修波得!$A$2:$A$13),2,FALSE))</f>
        <v>贝2</v>
      </c>
      <c r="H63" s="31" t="str">
        <f t="shared" ca="1" si="1"/>
        <v>爷贝2</v>
      </c>
    </row>
    <row r="64" spans="1:8" x14ac:dyDescent="0.2">
      <c r="A64" t="s">
        <v>62</v>
      </c>
      <c r="B64" t="s">
        <v>138</v>
      </c>
      <c r="F64" s="31" t="str">
        <f ca="1">IF(OR(OR($A64="",$B64=""),AND($C64&lt;&gt;"",$D64&lt;&gt;"")),"",VLOOKUP(A64,IF({1,0},INDIRECT("达修波得!$"&amp;$E$1&amp;"$2:$"&amp;$E$1&amp;"$15"),达修波得!$A$2:$A$13),2,FALSE))</f>
        <v>宇2</v>
      </c>
      <c r="G64" s="31" t="str">
        <f ca="1">IF(OR(OR($A64="",$B64=""),AND($C64&lt;&gt;"",$D64&lt;&gt;"")),"",VLOOKUP(B64,IF({1,0},INDIRECT("达修波得!$"&amp;$E$1&amp;"$2:$"&amp;$E$1&amp;"$15"),达修波得!$A$2:$A$13),2,FALSE))</f>
        <v>二2</v>
      </c>
      <c r="H64" s="31" t="str">
        <f t="shared" ca="1" si="1"/>
        <v>宇2二2</v>
      </c>
    </row>
    <row r="65" spans="1:8" x14ac:dyDescent="0.2">
      <c r="A65" t="s">
        <v>155</v>
      </c>
      <c r="B65" t="s">
        <v>68</v>
      </c>
      <c r="F65" s="31" t="str">
        <f ca="1">IF(OR(OR($A65="",$B65=""),AND($C65&lt;&gt;"",$D65&lt;&gt;"")),"",VLOOKUP(A65,IF({1,0},INDIRECT("达修波得!$"&amp;$E$1&amp;"$2:$"&amp;$E$1&amp;"$15"),达修波得!$A$2:$A$13),2,FALSE))</f>
        <v>二</v>
      </c>
      <c r="G65" s="31" t="str">
        <f ca="1">IF(OR(OR($A65="",$B65=""),AND($C65&lt;&gt;"",$D65&lt;&gt;"")),"",VLOOKUP(B65,IF({1,0},INDIRECT("达修波得!$"&amp;$E$1&amp;"$2:$"&amp;$E$1&amp;"$15"),达修波得!$A$2:$A$13),2,FALSE))</f>
        <v>爷2</v>
      </c>
      <c r="H65" s="31" t="str">
        <f t="shared" ca="1" si="1"/>
        <v>二爷2</v>
      </c>
    </row>
    <row r="66" spans="1:8" x14ac:dyDescent="0.2">
      <c r="A66" s="46" t="s">
        <v>132</v>
      </c>
      <c r="B66" s="46" t="s">
        <v>135</v>
      </c>
      <c r="F66" s="31" t="str">
        <f ca="1">IF(OR(OR($A66="",$B66=""),AND($C66&lt;&gt;"",$D66&lt;&gt;"")),"",VLOOKUP(A66,IF({1,0},INDIRECT("达修波得!$"&amp;$E$1&amp;"$2:$"&amp;$E$1&amp;"$15"),达修波得!$A$2:$A$13),2,FALSE))</f>
        <v>磊</v>
      </c>
      <c r="G66" s="31" t="str">
        <f ca="1">IF(OR(OR($A66="",$B66=""),AND($C66&lt;&gt;"",$D66&lt;&gt;"")),"",VLOOKUP(B66,IF({1,0},INDIRECT("达修波得!$"&amp;$E$1&amp;"$2:$"&amp;$E$1&amp;"$15"),达修波得!$A$2:$A$13),2,FALSE))</f>
        <v>贝</v>
      </c>
      <c r="H66" s="31" t="str">
        <f t="shared" ca="1" si="1"/>
        <v>磊贝</v>
      </c>
    </row>
    <row r="67" spans="1:8" x14ac:dyDescent="0.2">
      <c r="A67" s="4" t="s">
        <v>213</v>
      </c>
      <c r="C67" s="5"/>
      <c r="D67" s="5"/>
      <c r="F67" s="31" t="str">
        <f ca="1">IF(OR(OR($A67="",$B67=""),AND($C67&lt;&gt;"",$D67&lt;&gt;"")),"",VLOOKUP(A67,IF({1,0},INDIRECT("达修波得!$"&amp;$E$1&amp;"$2:$"&amp;$E$1&amp;"$15"),达修波得!$A$2:$A$13),2,FALSE))</f>
        <v/>
      </c>
      <c r="G67" s="31" t="str">
        <f ca="1">IF(OR(OR($A67="",$B67=""),AND($C67&lt;&gt;"",$D67&lt;&gt;"")),"",VLOOKUP(B67,IF({1,0},INDIRECT("达修波得!$"&amp;$E$1&amp;"$2:$"&amp;$E$1&amp;"$15"),达修波得!$A$2:$A$13),2,FALSE))</f>
        <v/>
      </c>
      <c r="H67" s="31" t="str">
        <f t="shared" ref="H67:H72" ca="1" si="2">F67&amp;G67</f>
        <v/>
      </c>
    </row>
    <row r="68" spans="1:8" x14ac:dyDescent="0.2">
      <c r="A68" t="s">
        <v>129</v>
      </c>
      <c r="B68" t="s">
        <v>151</v>
      </c>
      <c r="F68" s="31" t="str">
        <f ca="1">IF(OR(OR($A68="",$B68=""),AND($C68&lt;&gt;"",$D68&lt;&gt;"")),"",VLOOKUP(A68,IF({1,0},INDIRECT("达修波得!$"&amp;$E$1&amp;"$2:$"&amp;$E$1&amp;"$15"),达修波得!$A$2:$A$13),2,FALSE))</f>
        <v>爷</v>
      </c>
      <c r="G68" s="31" t="str">
        <f ca="1">IF(OR(OR($A68="",$B68=""),AND($C68&lt;&gt;"",$D68&lt;&gt;"")),"",VLOOKUP(B68,IF({1,0},INDIRECT("达修波得!$"&amp;$E$1&amp;"$2:$"&amp;$E$1&amp;"$15"),达修波得!$A$2:$A$13),2,FALSE))</f>
        <v>磊2</v>
      </c>
      <c r="H68" s="31" t="str">
        <f t="shared" ca="1" si="2"/>
        <v>爷磊2</v>
      </c>
    </row>
    <row r="69" spans="1:8" x14ac:dyDescent="0.2">
      <c r="A69" t="s">
        <v>62</v>
      </c>
      <c r="B69" t="s">
        <v>12</v>
      </c>
      <c r="F69" s="31" t="str">
        <f ca="1">IF(OR(OR($A69="",$B69=""),AND($C69&lt;&gt;"",$D69&lt;&gt;"")),"",VLOOKUP(A69,IF({1,0},INDIRECT("达修波得!$"&amp;$E$1&amp;"$2:$"&amp;$E$1&amp;"$15"),达修波得!$A$2:$A$13),2,FALSE))</f>
        <v>宇2</v>
      </c>
      <c r="G69" s="31" t="str">
        <f ca="1">IF(OR(OR($A69="",$B69=""),AND($C69&lt;&gt;"",$D69&lt;&gt;"")),"",VLOOKUP(B69,IF({1,0},INDIRECT("达修波得!$"&amp;$E$1&amp;"$2:$"&amp;$E$1&amp;"$15"),达修波得!$A$2:$A$13),2,FALSE))</f>
        <v>宇</v>
      </c>
      <c r="H69" s="31" t="str">
        <f t="shared" ca="1" si="2"/>
        <v>宇2宇</v>
      </c>
    </row>
    <row r="70" spans="1:8" x14ac:dyDescent="0.2">
      <c r="A70" t="s">
        <v>155</v>
      </c>
      <c r="B70" t="s">
        <v>144</v>
      </c>
      <c r="C70">
        <v>0</v>
      </c>
      <c r="D70">
        <v>5</v>
      </c>
      <c r="F70" s="31" t="str">
        <f ca="1">IF(OR(OR($A70="",$B70=""),AND($C70&lt;&gt;"",$D70&lt;&gt;"")),"",VLOOKUP(A70,IF({1,0},INDIRECT("达修波得!$"&amp;$E$1&amp;"$2:$"&amp;$E$1&amp;"$15"),达修波得!$A$2:$A$13),2,FALSE))</f>
        <v/>
      </c>
      <c r="G70" s="31" t="str">
        <f ca="1">IF(OR(OR($A70="",$B70=""),AND($C70&lt;&gt;"",$D70&lt;&gt;"")),"",VLOOKUP(B70,IF({1,0},INDIRECT("达修波得!$"&amp;$E$1&amp;"$2:$"&amp;$E$1&amp;"$15"),达修波得!$A$2:$A$13),2,FALSE))</f>
        <v/>
      </c>
      <c r="H70" s="31" t="str">
        <f t="shared" ca="1" si="2"/>
        <v/>
      </c>
    </row>
    <row r="71" spans="1:8" x14ac:dyDescent="0.2">
      <c r="A71" t="s">
        <v>132</v>
      </c>
      <c r="B71" t="s">
        <v>138</v>
      </c>
      <c r="F71" s="31" t="str">
        <f ca="1">IF(OR(OR($A71="",$B71=""),AND($C71&lt;&gt;"",$D71&lt;&gt;"")),"",VLOOKUP(A71,IF({1,0},INDIRECT("达修波得!$"&amp;$E$1&amp;"$2:$"&amp;$E$1&amp;"$15"),达修波得!$A$2:$A$13),2,FALSE))</f>
        <v>磊</v>
      </c>
      <c r="G71" s="31" t="str">
        <f ca="1">IF(OR(OR($A71="",$B71=""),AND($C71&lt;&gt;"",$D71&lt;&gt;"")),"",VLOOKUP(B71,IF({1,0},INDIRECT("达修波得!$"&amp;$E$1&amp;"$2:$"&amp;$E$1&amp;"$15"),达修波得!$A$2:$A$13),2,FALSE))</f>
        <v>二2</v>
      </c>
      <c r="H71" s="31" t="str">
        <f t="shared" ca="1" si="2"/>
        <v>磊二2</v>
      </c>
    </row>
    <row r="72" spans="1:8" x14ac:dyDescent="0.2">
      <c r="A72" s="46" t="s">
        <v>135</v>
      </c>
      <c r="B72" s="46" t="s">
        <v>68</v>
      </c>
      <c r="F72" s="31" t="str">
        <f ca="1">IF(OR(OR($A72="",$B72=""),AND($C72&lt;&gt;"",$D72&lt;&gt;"")),"",VLOOKUP(A72,IF({1,0},INDIRECT("达修波得!$"&amp;$E$1&amp;"$2:$"&amp;$E$1&amp;"$15"),达修波得!$A$2:$A$13),2,FALSE))</f>
        <v>贝</v>
      </c>
      <c r="G72" s="31" t="str">
        <f ca="1">IF(OR(OR($A72="",$B72=""),AND($C72&lt;&gt;"",$D72&lt;&gt;"")),"",VLOOKUP(B72,IF({1,0},INDIRECT("达修波得!$"&amp;$E$1&amp;"$2:$"&amp;$E$1&amp;"$15"),达修波得!$A$2:$A$13),2,FALSE))</f>
        <v>爷2</v>
      </c>
      <c r="H72" s="31" t="str">
        <f t="shared" ca="1" si="2"/>
        <v>贝爷2</v>
      </c>
    </row>
    <row r="73" spans="1:8" x14ac:dyDescent="0.2">
      <c r="A73" s="4" t="s">
        <v>214</v>
      </c>
      <c r="C73" s="5"/>
      <c r="D73" s="5"/>
      <c r="F73" s="31" t="str">
        <f ca="1">IF(OR(OR($A73="",$B73=""),AND($C73&lt;&gt;"",$D73&lt;&gt;"")),"",VLOOKUP(A73,IF({1,0},INDIRECT("达修波得!$"&amp;$E$1&amp;"$2:$"&amp;$E$1&amp;"$15"),达修波得!$A$2:$A$13),2,FALSE))</f>
        <v/>
      </c>
      <c r="G73" s="31" t="str">
        <f ca="1">IF(OR(OR($A73="",$B73=""),AND($C73&lt;&gt;"",$D73&lt;&gt;"")),"",VLOOKUP(B73,IF({1,0},INDIRECT("达修波得!$"&amp;$E$1&amp;"$2:$"&amp;$E$1&amp;"$15"),达修波得!$A$2:$A$13),2,FALSE))</f>
        <v/>
      </c>
      <c r="H73" s="31" t="str">
        <f t="shared" ref="H73:H77" ca="1" si="3">F73&amp;G73</f>
        <v/>
      </c>
    </row>
    <row r="74" spans="1:8" x14ac:dyDescent="0.2">
      <c r="A74" t="s">
        <v>62</v>
      </c>
      <c r="B74" t="s">
        <v>151</v>
      </c>
      <c r="C74">
        <v>1</v>
      </c>
      <c r="D74">
        <v>1</v>
      </c>
      <c r="F74" s="31" t="str">
        <f ca="1">IF(OR(OR($A74="",$B74=""),AND($C74&lt;&gt;"",$D74&lt;&gt;"")),"",VLOOKUP(A74,IF({1,0},INDIRECT("达修波得!$"&amp;$E$1&amp;"$2:$"&amp;$E$1&amp;"$15"),达修波得!$A$2:$A$13),2,FALSE))</f>
        <v/>
      </c>
      <c r="G74" s="31" t="str">
        <f ca="1">IF(OR(OR($A74="",$B74=""),AND($C74&lt;&gt;"",$D74&lt;&gt;"")),"",VLOOKUP(B74,IF({1,0},INDIRECT("达修波得!$"&amp;$E$1&amp;"$2:$"&amp;$E$1&amp;"$15"),达修波得!$A$2:$A$13),2,FALSE))</f>
        <v/>
      </c>
      <c r="H74" s="31" t="str">
        <f t="shared" ca="1" si="3"/>
        <v/>
      </c>
    </row>
    <row r="75" spans="1:8" x14ac:dyDescent="0.2">
      <c r="A75" t="s">
        <v>155</v>
      </c>
      <c r="B75" t="s">
        <v>129</v>
      </c>
      <c r="F75" s="31" t="str">
        <f ca="1">IF(OR(OR($A75="",$B75=""),AND($C75&lt;&gt;"",$D75&lt;&gt;"")),"",VLOOKUP(A75,IF({1,0},INDIRECT("达修波得!$"&amp;$E$1&amp;"$2:$"&amp;$E$1&amp;"$15"),达修波得!$A$2:$A$13),2,FALSE))</f>
        <v>二</v>
      </c>
      <c r="G75" s="31" t="str">
        <f ca="1">IF(OR(OR($A75="",$B75=""),AND($C75&lt;&gt;"",$D75&lt;&gt;"")),"",VLOOKUP(B75,IF({1,0},INDIRECT("达修波得!$"&amp;$E$1&amp;"$2:$"&amp;$E$1&amp;"$15"),达修波得!$A$2:$A$13),2,FALSE))</f>
        <v>爷</v>
      </c>
      <c r="H75" s="31" t="str">
        <f t="shared" ca="1" si="3"/>
        <v>二爷</v>
      </c>
    </row>
    <row r="76" spans="1:8" x14ac:dyDescent="0.2">
      <c r="A76" t="s">
        <v>132</v>
      </c>
      <c r="B76" t="s">
        <v>12</v>
      </c>
      <c r="C76">
        <v>0</v>
      </c>
      <c r="D76">
        <v>1</v>
      </c>
      <c r="F76" s="31" t="str">
        <f ca="1">IF(OR(OR($A76="",$B76=""),AND($C76&lt;&gt;"",$D76&lt;&gt;"")),"",VLOOKUP(A76,IF({1,0},INDIRECT("达修波得!$"&amp;$E$1&amp;"$2:$"&amp;$E$1&amp;"$15"),达修波得!$A$2:$A$13),2,FALSE))</f>
        <v/>
      </c>
      <c r="G76" s="31" t="str">
        <f ca="1">IF(OR(OR($A76="",$B76=""),AND($C76&lt;&gt;"",$D76&lt;&gt;"")),"",VLOOKUP(B76,IF({1,0},INDIRECT("达修波得!$"&amp;$E$1&amp;"$2:$"&amp;$E$1&amp;"$15"),达修波得!$A$2:$A$13),2,FALSE))</f>
        <v/>
      </c>
      <c r="H76" s="31" t="str">
        <f t="shared" ca="1" si="3"/>
        <v/>
      </c>
    </row>
    <row r="77" spans="1:8" x14ac:dyDescent="0.2">
      <c r="A77" t="s">
        <v>135</v>
      </c>
      <c r="B77" t="s">
        <v>144</v>
      </c>
      <c r="F77" s="31" t="str">
        <f ca="1">IF(OR(OR($A77="",$B77=""),AND($C77&lt;&gt;"",$D77&lt;&gt;"")),"",VLOOKUP(A77,IF({1,0},INDIRECT("达修波得!$"&amp;$E$1&amp;"$2:$"&amp;$E$1&amp;"$15"),达修波得!$A$2:$A$13),2,FALSE))</f>
        <v>贝</v>
      </c>
      <c r="G77" s="31" t="str">
        <f ca="1">IF(OR(OR($A77="",$B77=""),AND($C77&lt;&gt;"",$D77&lt;&gt;"")),"",VLOOKUP(B77,IF({1,0},INDIRECT("达修波得!$"&amp;$E$1&amp;"$2:$"&amp;$E$1&amp;"$15"),达修波得!$A$2:$A$13),2,FALSE))</f>
        <v>贝2</v>
      </c>
      <c r="H77" s="31" t="str">
        <f t="shared" ca="1" si="3"/>
        <v>贝贝2</v>
      </c>
    </row>
    <row r="78" spans="1:8" x14ac:dyDescent="0.2">
      <c r="A78" s="46" t="s">
        <v>68</v>
      </c>
      <c r="B78" s="46" t="s">
        <v>138</v>
      </c>
      <c r="F78" s="31" t="str">
        <f ca="1">IF(OR(OR($A78="",$B78=""),AND($C78&lt;&gt;"",$D78&lt;&gt;"")),"",VLOOKUP(A78,IF({1,0},INDIRECT("达修波得!$"&amp;$E$1&amp;"$2:$"&amp;$E$1&amp;"$15"),达修波得!$A$2:$A$13),2,FALSE))</f>
        <v>爷2</v>
      </c>
      <c r="G78" s="31" t="str">
        <f ca="1">IF(OR(OR($A78="",$B78=""),AND($C78&lt;&gt;"",$D78&lt;&gt;"")),"",VLOOKUP(B78,IF({1,0},INDIRECT("达修波得!$"&amp;$E$1&amp;"$2:$"&amp;$E$1&amp;"$15"),达修波得!$A$2:$A$13),2,FALSE))</f>
        <v>二2</v>
      </c>
      <c r="H78" s="31" t="str">
        <f t="shared" ref="H78:H108" ca="1" si="4">F78&amp;G78</f>
        <v>爷2二2</v>
      </c>
    </row>
    <row r="79" spans="1:8" x14ac:dyDescent="0.2">
      <c r="A79" s="4" t="s">
        <v>215</v>
      </c>
      <c r="C79" s="5"/>
      <c r="D79" s="5"/>
      <c r="F79" s="31" t="str">
        <f ca="1">IF(OR(OR($A79="",$B79=""),AND($C79&lt;&gt;"",$D79&lt;&gt;"")),"",VLOOKUP(A79,IF({1,0},INDIRECT("达修波得!$"&amp;$E$1&amp;"$2:$"&amp;$E$1&amp;"$15"),达修波得!$A$2:$A$13),2,FALSE))</f>
        <v/>
      </c>
      <c r="G79" s="31" t="str">
        <f ca="1">IF(OR(OR($A79="",$B79=""),AND($C79&lt;&gt;"",$D79&lt;&gt;"")),"",VLOOKUP(B79,IF({1,0},INDIRECT("达修波得!$"&amp;$E$1&amp;"$2:$"&amp;$E$1&amp;"$15"),达修波得!$A$2:$A$13),2,FALSE))</f>
        <v/>
      </c>
      <c r="H79" s="31" t="str">
        <f t="shared" ca="1" si="4"/>
        <v/>
      </c>
    </row>
    <row r="80" spans="1:8" x14ac:dyDescent="0.2">
      <c r="A80" t="s">
        <v>155</v>
      </c>
      <c r="B80" t="s">
        <v>151</v>
      </c>
      <c r="F80" s="31" t="str">
        <f ca="1">IF(OR(OR($A80="",$B80=""),AND($C80&lt;&gt;"",$D80&lt;&gt;"")),"",VLOOKUP(A80,IF({1,0},INDIRECT("达修波得!$"&amp;$E$1&amp;"$2:$"&amp;$E$1&amp;"$15"),达修波得!$A$2:$A$13),2,FALSE))</f>
        <v>二</v>
      </c>
      <c r="G80" s="31" t="str">
        <f ca="1">IF(OR(OR($A80="",$B80=""),AND($C80&lt;&gt;"",$D80&lt;&gt;"")),"",VLOOKUP(B80,IF({1,0},INDIRECT("达修波得!$"&amp;$E$1&amp;"$2:$"&amp;$E$1&amp;"$15"),达修波得!$A$2:$A$13),2,FALSE))</f>
        <v>磊2</v>
      </c>
      <c r="H80" s="31" t="str">
        <f t="shared" ca="1" si="4"/>
        <v>二磊2</v>
      </c>
    </row>
    <row r="81" spans="1:8" x14ac:dyDescent="0.2">
      <c r="A81" t="s">
        <v>132</v>
      </c>
      <c r="B81" t="s">
        <v>62</v>
      </c>
      <c r="F81" s="31" t="str">
        <f ca="1">IF(OR(OR($A81="",$B81=""),AND($C81&lt;&gt;"",$D81&lt;&gt;"")),"",VLOOKUP(A81,IF({1,0},INDIRECT("达修波得!$"&amp;$E$1&amp;"$2:$"&amp;$E$1&amp;"$15"),达修波得!$A$2:$A$13),2,FALSE))</f>
        <v>磊</v>
      </c>
      <c r="G81" s="31" t="str">
        <f ca="1">IF(OR(OR($A81="",$B81=""),AND($C81&lt;&gt;"",$D81&lt;&gt;"")),"",VLOOKUP(B81,IF({1,0},INDIRECT("达修波得!$"&amp;$E$1&amp;"$2:$"&amp;$E$1&amp;"$15"),达修波得!$A$2:$A$13),2,FALSE))</f>
        <v>宇2</v>
      </c>
      <c r="H81" s="31" t="str">
        <f t="shared" ca="1" si="4"/>
        <v>磊宇2</v>
      </c>
    </row>
    <row r="82" spans="1:8" x14ac:dyDescent="0.2">
      <c r="A82" t="s">
        <v>135</v>
      </c>
      <c r="B82" t="s">
        <v>129</v>
      </c>
      <c r="F82" s="31" t="str">
        <f ca="1">IF(OR(OR($A82="",$B82=""),AND($C82&lt;&gt;"",$D82&lt;&gt;"")),"",VLOOKUP(A82,IF({1,0},INDIRECT("达修波得!$"&amp;$E$1&amp;"$2:$"&amp;$E$1&amp;"$15"),达修波得!$A$2:$A$13),2,FALSE))</f>
        <v>贝</v>
      </c>
      <c r="G82" s="31" t="str">
        <f ca="1">IF(OR(OR($A82="",$B82=""),AND($C82&lt;&gt;"",$D82&lt;&gt;"")),"",VLOOKUP(B82,IF({1,0},INDIRECT("达修波得!$"&amp;$E$1&amp;"$2:$"&amp;$E$1&amp;"$15"),达修波得!$A$2:$A$13),2,FALSE))</f>
        <v>爷</v>
      </c>
      <c r="H82" s="31" t="str">
        <f t="shared" ca="1" si="4"/>
        <v>贝爷</v>
      </c>
    </row>
    <row r="83" spans="1:8" x14ac:dyDescent="0.2">
      <c r="A83" t="s">
        <v>68</v>
      </c>
      <c r="B83" t="s">
        <v>12</v>
      </c>
      <c r="F83" s="31" t="str">
        <f ca="1">IF(OR(OR($A83="",$B83=""),AND($C83&lt;&gt;"",$D83&lt;&gt;"")),"",VLOOKUP(A83,IF({1,0},INDIRECT("达修波得!$"&amp;$E$1&amp;"$2:$"&amp;$E$1&amp;"$15"),达修波得!$A$2:$A$13),2,FALSE))</f>
        <v>爷2</v>
      </c>
      <c r="G83" s="31" t="str">
        <f ca="1">IF(OR(OR($A83="",$B83=""),AND($C83&lt;&gt;"",$D83&lt;&gt;"")),"",VLOOKUP(B83,IF({1,0},INDIRECT("达修波得!$"&amp;$E$1&amp;"$2:$"&amp;$E$1&amp;"$15"),达修波得!$A$2:$A$13),2,FALSE))</f>
        <v>宇</v>
      </c>
      <c r="H83" s="31" t="str">
        <f t="shared" ca="1" si="4"/>
        <v>爷2宇</v>
      </c>
    </row>
    <row r="84" spans="1:8" x14ac:dyDescent="0.2">
      <c r="A84" s="46" t="s">
        <v>138</v>
      </c>
      <c r="B84" s="46" t="s">
        <v>144</v>
      </c>
      <c r="F84" s="31" t="str">
        <f ca="1">IF(OR(OR($A84="",$B84=""),AND($C84&lt;&gt;"",$D84&lt;&gt;"")),"",VLOOKUP(A84,IF({1,0},INDIRECT("达修波得!$"&amp;$E$1&amp;"$2:$"&amp;$E$1&amp;"$15"),达修波得!$A$2:$A$13),2,FALSE))</f>
        <v>二2</v>
      </c>
      <c r="G84" s="31" t="str">
        <f ca="1">IF(OR(OR($A84="",$B84=""),AND($C84&lt;&gt;"",$D84&lt;&gt;"")),"",VLOOKUP(B84,IF({1,0},INDIRECT("达修波得!$"&amp;$E$1&amp;"$2:$"&amp;$E$1&amp;"$15"),达修波得!$A$2:$A$13),2,FALSE))</f>
        <v>贝2</v>
      </c>
      <c r="H84" s="31" t="str">
        <f t="shared" ca="1" si="4"/>
        <v>二2贝2</v>
      </c>
    </row>
    <row r="85" spans="1:8" x14ac:dyDescent="0.2">
      <c r="A85" s="4" t="s">
        <v>216</v>
      </c>
      <c r="C85" s="5"/>
      <c r="D85" s="5"/>
      <c r="F85" s="31" t="str">
        <f ca="1">IF(OR(OR($A85="",$B85=""),AND($C85&lt;&gt;"",$D85&lt;&gt;"")),"",VLOOKUP(A85,IF({1,0},INDIRECT("达修波得!$"&amp;$E$1&amp;"$2:$"&amp;$E$1&amp;"$15"),达修波得!$A$2:$A$13),2,FALSE))</f>
        <v/>
      </c>
      <c r="G85" s="31" t="str">
        <f ca="1">IF(OR(OR($A85="",$B85=""),AND($C85&lt;&gt;"",$D85&lt;&gt;"")),"",VLOOKUP(B85,IF({1,0},INDIRECT("达修波得!$"&amp;$E$1&amp;"$2:$"&amp;$E$1&amp;"$15"),达修波得!$A$2:$A$13),2,FALSE))</f>
        <v/>
      </c>
      <c r="H85" s="31" t="str">
        <f t="shared" ca="1" si="4"/>
        <v/>
      </c>
    </row>
    <row r="86" spans="1:8" x14ac:dyDescent="0.2">
      <c r="A86" t="s">
        <v>132</v>
      </c>
      <c r="B86" t="s">
        <v>151</v>
      </c>
      <c r="F86" s="31" t="str">
        <f ca="1">IF(OR(OR($A86="",$B86=""),AND($C86&lt;&gt;"",$D86&lt;&gt;"")),"",VLOOKUP(A86,IF({1,0},INDIRECT("达修波得!$"&amp;$E$1&amp;"$2:$"&amp;$E$1&amp;"$15"),达修波得!$A$2:$A$13),2,FALSE))</f>
        <v>磊</v>
      </c>
      <c r="G86" s="31" t="str">
        <f ca="1">IF(OR(OR($A86="",$B86=""),AND($C86&lt;&gt;"",$D86&lt;&gt;"")),"",VLOOKUP(B86,IF({1,0},INDIRECT("达修波得!$"&amp;$E$1&amp;"$2:$"&amp;$E$1&amp;"$15"),达修波得!$A$2:$A$13),2,FALSE))</f>
        <v>磊2</v>
      </c>
      <c r="H86" s="31" t="str">
        <f t="shared" ca="1" si="4"/>
        <v>磊磊2</v>
      </c>
    </row>
    <row r="87" spans="1:8" x14ac:dyDescent="0.2">
      <c r="A87" t="s">
        <v>135</v>
      </c>
      <c r="B87" t="s">
        <v>155</v>
      </c>
      <c r="F87" s="31" t="str">
        <f ca="1">IF(OR(OR($A87="",$B87=""),AND($C87&lt;&gt;"",$D87&lt;&gt;"")),"",VLOOKUP(A87,IF({1,0},INDIRECT("达修波得!$"&amp;$E$1&amp;"$2:$"&amp;$E$1&amp;"$15"),达修波得!$A$2:$A$13),2,FALSE))</f>
        <v>贝</v>
      </c>
      <c r="G87" s="31" t="str">
        <f ca="1">IF(OR(OR($A87="",$B87=""),AND($C87&lt;&gt;"",$D87&lt;&gt;"")),"",VLOOKUP(B87,IF({1,0},INDIRECT("达修波得!$"&amp;$E$1&amp;"$2:$"&amp;$E$1&amp;"$15"),达修波得!$A$2:$A$13),2,FALSE))</f>
        <v>二</v>
      </c>
      <c r="H87" s="31" t="str">
        <f t="shared" ca="1" si="4"/>
        <v>贝二</v>
      </c>
    </row>
    <row r="88" spans="1:8" x14ac:dyDescent="0.2">
      <c r="A88" t="s">
        <v>68</v>
      </c>
      <c r="B88" t="s">
        <v>62</v>
      </c>
      <c r="F88" s="31" t="str">
        <f ca="1">IF(OR(OR($A88="",$B88=""),AND($C88&lt;&gt;"",$D88&lt;&gt;"")),"",VLOOKUP(A88,IF({1,0},INDIRECT("达修波得!$"&amp;$E$1&amp;"$2:$"&amp;$E$1&amp;"$15"),达修波得!$A$2:$A$13),2,FALSE))</f>
        <v>爷2</v>
      </c>
      <c r="G88" s="31" t="str">
        <f ca="1">IF(OR(OR($A88="",$B88=""),AND($C88&lt;&gt;"",$D88&lt;&gt;"")),"",VLOOKUP(B88,IF({1,0},INDIRECT("达修波得!$"&amp;$E$1&amp;"$2:$"&amp;$E$1&amp;"$15"),达修波得!$A$2:$A$13),2,FALSE))</f>
        <v>宇2</v>
      </c>
      <c r="H88" s="31" t="str">
        <f t="shared" ca="1" si="4"/>
        <v>爷2宇2</v>
      </c>
    </row>
    <row r="89" spans="1:8" x14ac:dyDescent="0.2">
      <c r="A89" t="s">
        <v>138</v>
      </c>
      <c r="B89" t="s">
        <v>129</v>
      </c>
      <c r="F89" s="31" t="str">
        <f ca="1">IF(OR(OR($A89="",$B89=""),AND($C89&lt;&gt;"",$D89&lt;&gt;"")),"",VLOOKUP(A89,IF({1,0},INDIRECT("达修波得!$"&amp;$E$1&amp;"$2:$"&amp;$E$1&amp;"$15"),达修波得!$A$2:$A$13),2,FALSE))</f>
        <v>二2</v>
      </c>
      <c r="G89" s="31" t="str">
        <f ca="1">IF(OR(OR($A89="",$B89=""),AND($C89&lt;&gt;"",$D89&lt;&gt;"")),"",VLOOKUP(B89,IF({1,0},INDIRECT("达修波得!$"&amp;$E$1&amp;"$2:$"&amp;$E$1&amp;"$15"),达修波得!$A$2:$A$13),2,FALSE))</f>
        <v>爷</v>
      </c>
      <c r="H89" s="31" t="str">
        <f t="shared" ca="1" si="4"/>
        <v>二2爷</v>
      </c>
    </row>
    <row r="90" spans="1:8" x14ac:dyDescent="0.2">
      <c r="A90" s="46" t="s">
        <v>144</v>
      </c>
      <c r="B90" s="46" t="s">
        <v>12</v>
      </c>
      <c r="C90">
        <v>3</v>
      </c>
      <c r="D90">
        <v>1</v>
      </c>
      <c r="F90" s="31" t="str">
        <f ca="1">IF(OR(OR($A90="",$B90=""),AND($C90&lt;&gt;"",$D90&lt;&gt;"")),"",VLOOKUP(A90,IF({1,0},INDIRECT("达修波得!$"&amp;$E$1&amp;"$2:$"&amp;$E$1&amp;"$15"),达修波得!$A$2:$A$13),2,FALSE))</f>
        <v/>
      </c>
      <c r="G90" s="31" t="str">
        <f ca="1">IF(OR(OR($A90="",$B90=""),AND($C90&lt;&gt;"",$D90&lt;&gt;"")),"",VLOOKUP(B90,IF({1,0},INDIRECT("达修波得!$"&amp;$E$1&amp;"$2:$"&amp;$E$1&amp;"$15"),达修波得!$A$2:$A$13),2,FALSE))</f>
        <v/>
      </c>
      <c r="H90" s="31" t="str">
        <f t="shared" ca="1" si="4"/>
        <v/>
      </c>
    </row>
    <row r="91" spans="1:8" x14ac:dyDescent="0.2">
      <c r="A91" s="4" t="s">
        <v>217</v>
      </c>
      <c r="C91" s="5"/>
      <c r="D91" s="5"/>
      <c r="F91" s="31" t="str">
        <f ca="1">IF(OR(OR($A91="",$B91=""),AND($C91&lt;&gt;"",$D91&lt;&gt;"")),"",VLOOKUP(A91,IF({1,0},INDIRECT("达修波得!$"&amp;$E$1&amp;"$2:$"&amp;$E$1&amp;"$15"),达修波得!$A$2:$A$13),2,FALSE))</f>
        <v/>
      </c>
      <c r="G91" s="31" t="str">
        <f ca="1">IF(OR(OR($A91="",$B91=""),AND($C91&lt;&gt;"",$D91&lt;&gt;"")),"",VLOOKUP(B91,IF({1,0},INDIRECT("达修波得!$"&amp;$E$1&amp;"$2:$"&amp;$E$1&amp;"$15"),达修波得!$A$2:$A$13),2,FALSE))</f>
        <v/>
      </c>
      <c r="H91" s="31" t="str">
        <f t="shared" ca="1" si="4"/>
        <v/>
      </c>
    </row>
    <row r="92" spans="1:8" x14ac:dyDescent="0.2">
      <c r="A92" t="s">
        <v>135</v>
      </c>
      <c r="B92" t="s">
        <v>151</v>
      </c>
      <c r="F92" s="31" t="str">
        <f ca="1">IF(OR(OR($A92="",$B92=""),AND($C92&lt;&gt;"",$D92&lt;&gt;"")),"",VLOOKUP(A92,IF({1,0},INDIRECT("达修波得!$"&amp;$E$1&amp;"$2:$"&amp;$E$1&amp;"$15"),达修波得!$A$2:$A$13),2,FALSE))</f>
        <v>贝</v>
      </c>
      <c r="G92" s="31" t="str">
        <f ca="1">IF(OR(OR($A92="",$B92=""),AND($C92&lt;&gt;"",$D92&lt;&gt;"")),"",VLOOKUP(B92,IF({1,0},INDIRECT("达修波得!$"&amp;$E$1&amp;"$2:$"&amp;$E$1&amp;"$15"),达修波得!$A$2:$A$13),2,FALSE))</f>
        <v>磊2</v>
      </c>
      <c r="H92" s="31" t="str">
        <f t="shared" ca="1" si="4"/>
        <v>贝磊2</v>
      </c>
    </row>
    <row r="93" spans="1:8" x14ac:dyDescent="0.2">
      <c r="A93" t="s">
        <v>68</v>
      </c>
      <c r="B93" t="s">
        <v>132</v>
      </c>
      <c r="F93" s="31" t="str">
        <f ca="1">IF(OR(OR($A93="",$B93=""),AND($C93&lt;&gt;"",$D93&lt;&gt;"")),"",VLOOKUP(A93,IF({1,0},INDIRECT("达修波得!$"&amp;$E$1&amp;"$2:$"&amp;$E$1&amp;"$15"),达修波得!$A$2:$A$13),2,FALSE))</f>
        <v>爷2</v>
      </c>
      <c r="G93" s="31" t="str">
        <f ca="1">IF(OR(OR($A93="",$B93=""),AND($C93&lt;&gt;"",$D93&lt;&gt;"")),"",VLOOKUP(B93,IF({1,0},INDIRECT("达修波得!$"&amp;$E$1&amp;"$2:$"&amp;$E$1&amp;"$15"),达修波得!$A$2:$A$13),2,FALSE))</f>
        <v>磊</v>
      </c>
      <c r="H93" s="31" t="str">
        <f t="shared" ca="1" si="4"/>
        <v>爷2磊</v>
      </c>
    </row>
    <row r="94" spans="1:8" x14ac:dyDescent="0.2">
      <c r="A94" t="s">
        <v>138</v>
      </c>
      <c r="B94" t="s">
        <v>155</v>
      </c>
      <c r="F94" s="31" t="str">
        <f ca="1">IF(OR(OR($A94="",$B94=""),AND($C94&lt;&gt;"",$D94&lt;&gt;"")),"",VLOOKUP(A94,IF({1,0},INDIRECT("达修波得!$"&amp;$E$1&amp;"$2:$"&amp;$E$1&amp;"$15"),达修波得!$A$2:$A$13),2,FALSE))</f>
        <v>二2</v>
      </c>
      <c r="G94" s="31" t="str">
        <f ca="1">IF(OR(OR($A94="",$B94=""),AND($C94&lt;&gt;"",$D94&lt;&gt;"")),"",VLOOKUP(B94,IF({1,0},INDIRECT("达修波得!$"&amp;$E$1&amp;"$2:$"&amp;$E$1&amp;"$15"),达修波得!$A$2:$A$13),2,FALSE))</f>
        <v>二</v>
      </c>
      <c r="H94" s="31" t="str">
        <f t="shared" ca="1" si="4"/>
        <v>二2二</v>
      </c>
    </row>
    <row r="95" spans="1:8" x14ac:dyDescent="0.2">
      <c r="A95" t="s">
        <v>144</v>
      </c>
      <c r="B95" t="s">
        <v>62</v>
      </c>
      <c r="C95">
        <v>2</v>
      </c>
      <c r="D95">
        <v>0</v>
      </c>
      <c r="F95" s="31" t="str">
        <f ca="1">IF(OR(OR($A95="",$B95=""),AND($C95&lt;&gt;"",$D95&lt;&gt;"")),"",VLOOKUP(A95,IF({1,0},INDIRECT("达修波得!$"&amp;$E$1&amp;"$2:$"&amp;$E$1&amp;"$15"),达修波得!$A$2:$A$13),2,FALSE))</f>
        <v/>
      </c>
      <c r="G95" s="31" t="str">
        <f ca="1">IF(OR(OR($A95="",$B95=""),AND($C95&lt;&gt;"",$D95&lt;&gt;"")),"",VLOOKUP(B95,IF({1,0},INDIRECT("达修波得!$"&amp;$E$1&amp;"$2:$"&amp;$E$1&amp;"$15"),达修波得!$A$2:$A$13),2,FALSE))</f>
        <v/>
      </c>
      <c r="H95" s="31" t="str">
        <f t="shared" ca="1" si="4"/>
        <v/>
      </c>
    </row>
    <row r="96" spans="1:8" x14ac:dyDescent="0.2">
      <c r="A96" s="46" t="s">
        <v>12</v>
      </c>
      <c r="B96" s="46" t="s">
        <v>129</v>
      </c>
      <c r="F96" s="31" t="str">
        <f ca="1">IF(OR(OR($A96="",$B96=""),AND($C96&lt;&gt;"",$D96&lt;&gt;"")),"",VLOOKUP(A96,IF({1,0},INDIRECT("达修波得!$"&amp;$E$1&amp;"$2:$"&amp;$E$1&amp;"$15"),达修波得!$A$2:$A$13),2,FALSE))</f>
        <v>宇</v>
      </c>
      <c r="G96" s="31" t="str">
        <f ca="1">IF(OR(OR($A96="",$B96=""),AND($C96&lt;&gt;"",$D96&lt;&gt;"")),"",VLOOKUP(B96,IF({1,0},INDIRECT("达修波得!$"&amp;$E$1&amp;"$2:$"&amp;$E$1&amp;"$15"),达修波得!$A$2:$A$13),2,FALSE))</f>
        <v>爷</v>
      </c>
      <c r="H96" s="31" t="str">
        <f t="shared" ca="1" si="4"/>
        <v>宇爷</v>
      </c>
    </row>
    <row r="97" spans="1:8" x14ac:dyDescent="0.2">
      <c r="A97" s="4" t="s">
        <v>218</v>
      </c>
      <c r="C97" s="5"/>
      <c r="D97" s="5"/>
      <c r="F97" s="31" t="str">
        <f ca="1">IF(OR(OR($A97="",$B97=""),AND($C97&lt;&gt;"",$D97&lt;&gt;"")),"",VLOOKUP(A97,IF({1,0},INDIRECT("达修波得!$"&amp;$E$1&amp;"$2:$"&amp;$E$1&amp;"$15"),达修波得!$A$2:$A$13),2,FALSE))</f>
        <v/>
      </c>
      <c r="G97" s="31" t="str">
        <f ca="1">IF(OR(OR($A97="",$B97=""),AND($C97&lt;&gt;"",$D97&lt;&gt;"")),"",VLOOKUP(B97,IF({1,0},INDIRECT("达修波得!$"&amp;$E$1&amp;"$2:$"&amp;$E$1&amp;"$15"),达修波得!$A$2:$A$13),2,FALSE))</f>
        <v/>
      </c>
      <c r="H97" s="31" t="str">
        <f t="shared" ca="1" si="4"/>
        <v/>
      </c>
    </row>
    <row r="98" spans="1:8" x14ac:dyDescent="0.2">
      <c r="A98" t="s">
        <v>68</v>
      </c>
      <c r="B98" t="s">
        <v>151</v>
      </c>
      <c r="F98" s="31" t="str">
        <f ca="1">IF(OR(OR($A98="",$B98=""),AND($C98&lt;&gt;"",$D98&lt;&gt;"")),"",VLOOKUP(A98,IF({1,0},INDIRECT("达修波得!$"&amp;$E$1&amp;"$2:$"&amp;$E$1&amp;"$15"),达修波得!$A$2:$A$13),2,FALSE))</f>
        <v>爷2</v>
      </c>
      <c r="G98" s="31" t="str">
        <f ca="1">IF(OR(OR($A98="",$B98=""),AND($C98&lt;&gt;"",$D98&lt;&gt;"")),"",VLOOKUP(B98,IF({1,0},INDIRECT("达修波得!$"&amp;$E$1&amp;"$2:$"&amp;$E$1&amp;"$15"),达修波得!$A$2:$A$13),2,FALSE))</f>
        <v>磊2</v>
      </c>
      <c r="H98" s="31" t="str">
        <f t="shared" ca="1" si="4"/>
        <v>爷2磊2</v>
      </c>
    </row>
    <row r="99" spans="1:8" x14ac:dyDescent="0.2">
      <c r="A99" t="s">
        <v>138</v>
      </c>
      <c r="B99" t="s">
        <v>135</v>
      </c>
      <c r="C99">
        <v>1</v>
      </c>
      <c r="D99">
        <v>2</v>
      </c>
      <c r="F99" s="31" t="str">
        <f ca="1">IF(OR(OR($A99="",$B99=""),AND($C99&lt;&gt;"",$D99&lt;&gt;"")),"",VLOOKUP(A99,IF({1,0},INDIRECT("达修波得!$"&amp;$E$1&amp;"$2:$"&amp;$E$1&amp;"$15"),达修波得!$A$2:$A$13),2,FALSE))</f>
        <v/>
      </c>
      <c r="G99" s="31" t="str">
        <f ca="1">IF(OR(OR($A99="",$B99=""),AND($C99&lt;&gt;"",$D99&lt;&gt;"")),"",VLOOKUP(B99,IF({1,0},INDIRECT("达修波得!$"&amp;$E$1&amp;"$2:$"&amp;$E$1&amp;"$15"),达修波得!$A$2:$A$13),2,FALSE))</f>
        <v/>
      </c>
      <c r="H99" s="31" t="str">
        <f t="shared" ca="1" si="4"/>
        <v/>
      </c>
    </row>
    <row r="100" spans="1:8" x14ac:dyDescent="0.2">
      <c r="A100" t="s">
        <v>144</v>
      </c>
      <c r="B100" t="s">
        <v>132</v>
      </c>
      <c r="F100" s="31" t="str">
        <f ca="1">IF(OR(OR($A100="",$B100=""),AND($C100&lt;&gt;"",$D100&lt;&gt;"")),"",VLOOKUP(A100,IF({1,0},INDIRECT("达修波得!$"&amp;$E$1&amp;"$2:$"&amp;$E$1&amp;"$15"),达修波得!$A$2:$A$13),2,FALSE))</f>
        <v>贝2</v>
      </c>
      <c r="G100" s="31" t="str">
        <f ca="1">IF(OR(OR($A100="",$B100=""),AND($C100&lt;&gt;"",$D100&lt;&gt;"")),"",VLOOKUP(B100,IF({1,0},INDIRECT("达修波得!$"&amp;$E$1&amp;"$2:$"&amp;$E$1&amp;"$15"),达修波得!$A$2:$A$13),2,FALSE))</f>
        <v>磊</v>
      </c>
      <c r="H100" s="31" t="str">
        <f t="shared" ca="1" si="4"/>
        <v>贝2磊</v>
      </c>
    </row>
    <row r="101" spans="1:8" x14ac:dyDescent="0.2">
      <c r="A101" t="s">
        <v>12</v>
      </c>
      <c r="B101" t="s">
        <v>155</v>
      </c>
      <c r="F101" s="31" t="str">
        <f ca="1">IF(OR(OR($A101="",$B101=""),AND($C101&lt;&gt;"",$D101&lt;&gt;"")),"",VLOOKUP(A101,IF({1,0},INDIRECT("达修波得!$"&amp;$E$1&amp;"$2:$"&amp;$E$1&amp;"$15"),达修波得!$A$2:$A$13),2,FALSE))</f>
        <v>宇</v>
      </c>
      <c r="G101" s="31" t="str">
        <f ca="1">IF(OR(OR($A101="",$B101=""),AND($C101&lt;&gt;"",$D101&lt;&gt;"")),"",VLOOKUP(B101,IF({1,0},INDIRECT("达修波得!$"&amp;$E$1&amp;"$2:$"&amp;$E$1&amp;"$15"),达修波得!$A$2:$A$13),2,FALSE))</f>
        <v>二</v>
      </c>
      <c r="H101" s="31" t="str">
        <f t="shared" ca="1" si="4"/>
        <v>宇二</v>
      </c>
    </row>
    <row r="102" spans="1:8" x14ac:dyDescent="0.2">
      <c r="A102" s="46" t="s">
        <v>129</v>
      </c>
      <c r="B102" s="46" t="s">
        <v>62</v>
      </c>
      <c r="F102" s="31" t="str">
        <f ca="1">IF(OR(OR($A102="",$B102=""),AND($C102&lt;&gt;"",$D102&lt;&gt;"")),"",VLOOKUP(A102,IF({1,0},INDIRECT("达修波得!$"&amp;$E$1&amp;"$2:$"&amp;$E$1&amp;"$15"),达修波得!$A$2:$A$13),2,FALSE))</f>
        <v>爷</v>
      </c>
      <c r="G102" s="31" t="str">
        <f ca="1">IF(OR(OR($A102="",$B102=""),AND($C102&lt;&gt;"",$D102&lt;&gt;"")),"",VLOOKUP(B102,IF({1,0},INDIRECT("达修波得!$"&amp;$E$1&amp;"$2:$"&amp;$E$1&amp;"$15"),达修波得!$A$2:$A$13),2,FALSE))</f>
        <v>宇2</v>
      </c>
      <c r="H102" s="31" t="str">
        <f t="shared" ca="1" si="4"/>
        <v>爷宇2</v>
      </c>
    </row>
    <row r="103" spans="1:8" x14ac:dyDescent="0.2">
      <c r="A103" s="4" t="s">
        <v>219</v>
      </c>
      <c r="C103" s="5"/>
      <c r="D103" s="5"/>
      <c r="F103" s="31" t="str">
        <f ca="1">IF(OR(OR($A103="",$B103=""),AND($C103&lt;&gt;"",$D103&lt;&gt;"")),"",VLOOKUP(A103,IF({1,0},INDIRECT("达修波得!$"&amp;$E$1&amp;"$2:$"&amp;$E$1&amp;"$15"),达修波得!$A$2:$A$13),2,FALSE))</f>
        <v/>
      </c>
      <c r="G103" s="31" t="str">
        <f ca="1">IF(OR(OR($A103="",$B103=""),AND($C103&lt;&gt;"",$D103&lt;&gt;"")),"",VLOOKUP(B103,IF({1,0},INDIRECT("达修波得!$"&amp;$E$1&amp;"$2:$"&amp;$E$1&amp;"$15"),达修波得!$A$2:$A$13),2,FALSE))</f>
        <v/>
      </c>
      <c r="H103" s="31" t="str">
        <f t="shared" ca="1" si="4"/>
        <v/>
      </c>
    </row>
    <row r="104" spans="1:8" x14ac:dyDescent="0.2">
      <c r="A104" t="s">
        <v>138</v>
      </c>
      <c r="B104" t="s">
        <v>151</v>
      </c>
      <c r="F104" s="31" t="str">
        <f ca="1">IF(OR(OR($A104="",$B104=""),AND($C104&lt;&gt;"",$D104&lt;&gt;"")),"",VLOOKUP(A104,IF({1,0},INDIRECT("达修波得!$"&amp;$E$1&amp;"$2:$"&amp;$E$1&amp;"$15"),达修波得!$A$2:$A$13),2,FALSE))</f>
        <v>二2</v>
      </c>
      <c r="G104" s="31" t="str">
        <f ca="1">IF(OR(OR($A104="",$B104=""),AND($C104&lt;&gt;"",$D104&lt;&gt;"")),"",VLOOKUP(B104,IF({1,0},INDIRECT("达修波得!$"&amp;$E$1&amp;"$2:$"&amp;$E$1&amp;"$15"),达修波得!$A$2:$A$13),2,FALSE))</f>
        <v>磊2</v>
      </c>
      <c r="H104" s="31" t="str">
        <f t="shared" ca="1" si="4"/>
        <v>二2磊2</v>
      </c>
    </row>
    <row r="105" spans="1:8" x14ac:dyDescent="0.2">
      <c r="A105" t="s">
        <v>144</v>
      </c>
      <c r="B105" t="s">
        <v>68</v>
      </c>
      <c r="F105" s="31" t="str">
        <f ca="1">IF(OR(OR($A105="",$B105=""),AND($C105&lt;&gt;"",$D105&lt;&gt;"")),"",VLOOKUP(A105,IF({1,0},INDIRECT("达修波得!$"&amp;$E$1&amp;"$2:$"&amp;$E$1&amp;"$15"),达修波得!$A$2:$A$13),2,FALSE))</f>
        <v>贝2</v>
      </c>
      <c r="G105" s="31" t="str">
        <f ca="1">IF(OR(OR($A105="",$B105=""),AND($C105&lt;&gt;"",$D105&lt;&gt;"")),"",VLOOKUP(B105,IF({1,0},INDIRECT("达修波得!$"&amp;$E$1&amp;"$2:$"&amp;$E$1&amp;"$15"),达修波得!$A$2:$A$13),2,FALSE))</f>
        <v>爷2</v>
      </c>
      <c r="H105" s="31" t="str">
        <f t="shared" ca="1" si="4"/>
        <v>贝2爷2</v>
      </c>
    </row>
    <row r="106" spans="1:8" x14ac:dyDescent="0.2">
      <c r="A106" t="s">
        <v>12</v>
      </c>
      <c r="B106" t="s">
        <v>135</v>
      </c>
      <c r="F106" s="31" t="str">
        <f ca="1">IF(OR(OR($A106="",$B106=""),AND($C106&lt;&gt;"",$D106&lt;&gt;"")),"",VLOOKUP(A106,IF({1,0},INDIRECT("达修波得!$"&amp;$E$1&amp;"$2:$"&amp;$E$1&amp;"$15"),达修波得!$A$2:$A$13),2,FALSE))</f>
        <v>宇</v>
      </c>
      <c r="G106" s="31" t="str">
        <f ca="1">IF(OR(OR($A106="",$B106=""),AND($C106&lt;&gt;"",$D106&lt;&gt;"")),"",VLOOKUP(B106,IF({1,0},INDIRECT("达修波得!$"&amp;$E$1&amp;"$2:$"&amp;$E$1&amp;"$15"),达修波得!$A$2:$A$13),2,FALSE))</f>
        <v>贝</v>
      </c>
      <c r="H106" s="31" t="str">
        <f t="shared" ca="1" si="4"/>
        <v>宇贝</v>
      </c>
    </row>
    <row r="107" spans="1:8" x14ac:dyDescent="0.2">
      <c r="A107" t="s">
        <v>129</v>
      </c>
      <c r="B107" t="s">
        <v>132</v>
      </c>
      <c r="F107" s="31" t="str">
        <f ca="1">IF(OR(OR($A107="",$B107=""),AND($C107&lt;&gt;"",$D107&lt;&gt;"")),"",VLOOKUP(A107,IF({1,0},INDIRECT("达修波得!$"&amp;$E$1&amp;"$2:$"&amp;$E$1&amp;"$15"),达修波得!$A$2:$A$13),2,FALSE))</f>
        <v>爷</v>
      </c>
      <c r="G107" s="31" t="str">
        <f ca="1">IF(OR(OR($A107="",$B107=""),AND($C107&lt;&gt;"",$D107&lt;&gt;"")),"",VLOOKUP(B107,IF({1,0},INDIRECT("达修波得!$"&amp;$E$1&amp;"$2:$"&amp;$E$1&amp;"$15"),达修波得!$A$2:$A$13),2,FALSE))</f>
        <v>磊</v>
      </c>
      <c r="H107" s="31" t="str">
        <f t="shared" ca="1" si="4"/>
        <v>爷磊</v>
      </c>
    </row>
    <row r="108" spans="1:8" x14ac:dyDescent="0.2">
      <c r="A108" s="46" t="s">
        <v>62</v>
      </c>
      <c r="B108" s="46" t="s">
        <v>155</v>
      </c>
      <c r="F108" s="31" t="str">
        <f ca="1">IF(OR(OR($A108="",$B108=""),AND($C108&lt;&gt;"",$D108&lt;&gt;"")),"",VLOOKUP(A108,IF({1,0},INDIRECT("达修波得!$"&amp;$E$1&amp;"$2:$"&amp;$E$1&amp;"$15"),达修波得!$A$2:$A$13),2,FALSE))</f>
        <v>宇2</v>
      </c>
      <c r="G108" s="31" t="str">
        <f ca="1">IF(OR(OR($A108="",$B108=""),AND($C108&lt;&gt;"",$D108&lt;&gt;"")),"",VLOOKUP(B108,IF({1,0},INDIRECT("达修波得!$"&amp;$E$1&amp;"$2:$"&amp;$E$1&amp;"$15"),达修波得!$A$2:$A$13),2,FALSE))</f>
        <v>二</v>
      </c>
      <c r="H108" s="31" t="str">
        <f t="shared" ca="1" si="4"/>
        <v>宇2二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达修波得</vt:lpstr>
      <vt:lpstr>西甲積分榜</vt:lpstr>
      <vt:lpstr>欧联積分榜</vt:lpstr>
      <vt:lpstr>意甲積分榜</vt:lpstr>
      <vt:lpstr>德甲積分榜</vt:lpstr>
      <vt:lpstr>荷葡積分榜</vt:lpstr>
      <vt:lpstr>法甲積分榜</vt:lpstr>
      <vt:lpstr>英超積分榜</vt:lpstr>
      <vt:lpstr>欧冠積分榜</vt:lpstr>
      <vt:lpstr>西甲</vt:lpstr>
      <vt:lpstr>欧联</vt:lpstr>
      <vt:lpstr>意甲</vt:lpstr>
      <vt:lpstr>德甲</vt:lpstr>
      <vt:lpstr>荷葡</vt:lpstr>
      <vt:lpstr>法甲</vt:lpstr>
      <vt:lpstr>英超</vt:lpstr>
      <vt:lpstr>欧冠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Morpheus zheng</cp:lastModifiedBy>
  <dcterms:created xsi:type="dcterms:W3CDTF">2016-12-27T02:33:39Z</dcterms:created>
  <dcterms:modified xsi:type="dcterms:W3CDTF">2018-12-05T13:23:48Z</dcterms:modified>
</cp:coreProperties>
</file>