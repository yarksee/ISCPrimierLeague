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60" windowWidth="20415" windowHeight="7995"/>
  </bookViews>
  <sheets>
    <sheet name="达修波得" sheetId="7" r:id="rId1"/>
    <sheet name="西甲積分榜" sheetId="1" r:id="rId2"/>
    <sheet name="欧联積分榜" sheetId="5" r:id="rId3"/>
    <sheet name="意甲積分榜" sheetId="6" r:id="rId4"/>
    <sheet name="欧冠積分榜" sheetId="9" r:id="rId5"/>
    <sheet name="西甲" sheetId="2" r:id="rId6"/>
    <sheet name="欧联" sheetId="3" r:id="rId7"/>
    <sheet name="意甲" sheetId="4" r:id="rId8"/>
    <sheet name="欧冠" sheetId="8" r:id="rId9"/>
  </sheets>
  <functionGroups/>
  <definedNames>
    <definedName name="_xlnm._FilterDatabase" localSheetId="7" hidden="1">意甲!$A$1:$E$70</definedName>
    <definedName name="_xlnm._FilterDatabase" localSheetId="8" hidden="1">欧冠!$A$1:$E$70</definedName>
  </definedNames>
  <calcPr calcId="124519" concurrentCalc="0"/>
</workbook>
</file>

<file path=xl/calcChain.xml><?xml version="1.0" encoding="utf-8"?>
<calcChain xmlns="http://schemas.openxmlformats.org/spreadsheetml/2006/main">
  <c r="L8" i="9"/>
  <c r="L7"/>
  <c r="L6"/>
  <c r="L5"/>
  <c r="L4"/>
  <c r="L3"/>
  <c r="L2"/>
  <c r="H93" i="8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G72"/>
  <c r="F72"/>
  <c r="G71"/>
  <c r="F71"/>
  <c r="G66"/>
  <c r="F66"/>
  <c r="G61"/>
  <c r="F61"/>
  <c r="G56"/>
  <c r="F56"/>
  <c r="G51"/>
  <c r="F51"/>
  <c r="G46"/>
  <c r="F46"/>
  <c r="G45"/>
  <c r="F45"/>
  <c r="G41"/>
  <c r="F41"/>
  <c r="G36"/>
  <c r="F36"/>
  <c r="G31"/>
  <c r="F31"/>
  <c r="G26"/>
  <c r="F26"/>
  <c r="G21"/>
  <c r="F21"/>
  <c r="G16"/>
  <c r="F16"/>
  <c r="G11"/>
  <c r="F11"/>
  <c r="G10"/>
  <c r="F10"/>
  <c r="G6"/>
  <c r="F6"/>
  <c r="G1"/>
  <c r="F1"/>
  <c r="F1" i="2"/>
  <c r="G1"/>
  <c r="F2"/>
  <c r="G2"/>
  <c r="F3"/>
  <c r="G3"/>
  <c r="F4"/>
  <c r="G4"/>
  <c r="F5"/>
  <c r="G5"/>
  <c r="F6"/>
  <c r="G6"/>
  <c r="F7"/>
  <c r="G7"/>
  <c r="F8"/>
  <c r="G8"/>
  <c r="F9"/>
  <c r="G9"/>
  <c r="F10"/>
  <c r="G10"/>
  <c r="F11"/>
  <c r="G11"/>
  <c r="F12"/>
  <c r="G12"/>
  <c r="F13"/>
  <c r="G13"/>
  <c r="F14"/>
  <c r="G14"/>
  <c r="F15"/>
  <c r="G15"/>
  <c r="F16"/>
  <c r="G16"/>
  <c r="F17"/>
  <c r="G17"/>
  <c r="F18"/>
  <c r="G18"/>
  <c r="F19"/>
  <c r="G19"/>
  <c r="F20"/>
  <c r="G20"/>
  <c r="F21"/>
  <c r="G21"/>
  <c r="F22"/>
  <c r="G22"/>
  <c r="F23"/>
  <c r="G23"/>
  <c r="F24"/>
  <c r="G24"/>
  <c r="F25"/>
  <c r="G25"/>
  <c r="F26"/>
  <c r="G26"/>
  <c r="F27"/>
  <c r="G27"/>
  <c r="F28"/>
  <c r="G28"/>
  <c r="F29"/>
  <c r="G29"/>
  <c r="F30"/>
  <c r="G30"/>
  <c r="F31"/>
  <c r="G31"/>
  <c r="F32"/>
  <c r="G32"/>
  <c r="F33"/>
  <c r="G33"/>
  <c r="F34"/>
  <c r="G34"/>
  <c r="F35"/>
  <c r="G35"/>
  <c r="F36"/>
  <c r="G36"/>
  <c r="F37"/>
  <c r="G37"/>
  <c r="F38"/>
  <c r="G38"/>
  <c r="F39"/>
  <c r="G39"/>
  <c r="F40"/>
  <c r="G40"/>
  <c r="F41"/>
  <c r="G41"/>
  <c r="F42"/>
  <c r="G42"/>
  <c r="F43"/>
  <c r="G43"/>
  <c r="F44"/>
  <c r="G44"/>
  <c r="F45"/>
  <c r="G45"/>
  <c r="F46"/>
  <c r="G46"/>
  <c r="F47"/>
  <c r="G47"/>
  <c r="F49"/>
  <c r="G49"/>
  <c r="F50"/>
  <c r="G50"/>
  <c r="F51"/>
  <c r="G51"/>
  <c r="F52"/>
  <c r="G52"/>
  <c r="F53"/>
  <c r="G53"/>
  <c r="F54"/>
  <c r="G54"/>
  <c r="F55"/>
  <c r="G55"/>
  <c r="F56"/>
  <c r="G56"/>
  <c r="F57"/>
  <c r="G57"/>
  <c r="F58"/>
  <c r="G58"/>
  <c r="F61"/>
  <c r="G61"/>
  <c r="F62"/>
  <c r="G62"/>
  <c r="F63"/>
  <c r="G63"/>
  <c r="F64"/>
  <c r="G64"/>
  <c r="F66"/>
  <c r="G66"/>
  <c r="F67"/>
  <c r="G67"/>
  <c r="F68"/>
  <c r="G68"/>
  <c r="F69"/>
  <c r="G69"/>
  <c r="F71"/>
  <c r="G71"/>
  <c r="F72"/>
  <c r="G72"/>
  <c r="F1" i="3"/>
  <c r="G1"/>
  <c r="F2"/>
  <c r="G2"/>
  <c r="F3"/>
  <c r="G3"/>
  <c r="F4"/>
  <c r="G4"/>
  <c r="F5"/>
  <c r="G5"/>
  <c r="F6"/>
  <c r="G6"/>
  <c r="F7"/>
  <c r="G7"/>
  <c r="F9"/>
  <c r="G9"/>
  <c r="F10"/>
  <c r="G10"/>
  <c r="F11"/>
  <c r="G11"/>
  <c r="F12"/>
  <c r="G12"/>
  <c r="F13"/>
  <c r="G13"/>
  <c r="F14"/>
  <c r="G14"/>
  <c r="F15"/>
  <c r="G15"/>
  <c r="F16"/>
  <c r="G16"/>
  <c r="F17"/>
  <c r="G17"/>
  <c r="F18"/>
  <c r="G18"/>
  <c r="F19"/>
  <c r="G19"/>
  <c r="F20"/>
  <c r="G20"/>
  <c r="F21"/>
  <c r="G21"/>
  <c r="F22"/>
  <c r="G22"/>
  <c r="F23"/>
  <c r="G23"/>
  <c r="F24"/>
  <c r="G24"/>
  <c r="F25"/>
  <c r="G25"/>
  <c r="F26"/>
  <c r="G26"/>
  <c r="F27"/>
  <c r="G27"/>
  <c r="F28"/>
  <c r="G28"/>
  <c r="F29"/>
  <c r="G29"/>
  <c r="F30"/>
  <c r="G30"/>
  <c r="F31"/>
  <c r="G31"/>
  <c r="F32"/>
  <c r="G32"/>
  <c r="F33"/>
  <c r="G33"/>
  <c r="F34"/>
  <c r="G34"/>
  <c r="F35"/>
  <c r="G35"/>
  <c r="F36"/>
  <c r="G36"/>
  <c r="F38"/>
  <c r="G38"/>
  <c r="F39"/>
  <c r="G39"/>
  <c r="F40"/>
  <c r="G40"/>
  <c r="F41"/>
  <c r="G41"/>
  <c r="F42"/>
  <c r="G42"/>
  <c r="F44"/>
  <c r="G44"/>
  <c r="F45"/>
  <c r="G45"/>
  <c r="F46"/>
  <c r="G46"/>
  <c r="F47"/>
  <c r="G47"/>
  <c r="F48"/>
  <c r="G48"/>
  <c r="F49"/>
  <c r="G49"/>
  <c r="F50"/>
  <c r="G50"/>
  <c r="F51"/>
  <c r="G51"/>
  <c r="F52"/>
  <c r="G52"/>
  <c r="F53"/>
  <c r="G53"/>
  <c r="F54"/>
  <c r="G54"/>
  <c r="F55"/>
  <c r="G55"/>
  <c r="F56"/>
  <c r="G56"/>
  <c r="F57"/>
  <c r="G57"/>
  <c r="F58"/>
  <c r="G58"/>
  <c r="F59"/>
  <c r="G59"/>
  <c r="F61"/>
  <c r="G61"/>
  <c r="F62"/>
  <c r="G62"/>
  <c r="F63"/>
  <c r="G63"/>
  <c r="F64"/>
  <c r="G64"/>
  <c r="F66"/>
  <c r="G66"/>
  <c r="F67"/>
  <c r="G67"/>
  <c r="F69"/>
  <c r="G69"/>
  <c r="F70"/>
  <c r="G70"/>
  <c r="F71"/>
  <c r="G71"/>
  <c r="F72"/>
  <c r="G72"/>
  <c r="F1" i="4"/>
  <c r="G1"/>
  <c r="F2"/>
  <c r="G2"/>
  <c r="F3"/>
  <c r="G3"/>
  <c r="F4"/>
  <c r="G4"/>
  <c r="F5"/>
  <c r="G5"/>
  <c r="F6"/>
  <c r="G6"/>
  <c r="F7"/>
  <c r="G7"/>
  <c r="F8"/>
  <c r="G8"/>
  <c r="F9"/>
  <c r="G9"/>
  <c r="F10"/>
  <c r="G10"/>
  <c r="F11"/>
  <c r="G11"/>
  <c r="F12"/>
  <c r="G12"/>
  <c r="F13"/>
  <c r="G13"/>
  <c r="F14"/>
  <c r="G14"/>
  <c r="F15"/>
  <c r="G15"/>
  <c r="F16"/>
  <c r="G16"/>
  <c r="F17"/>
  <c r="G17"/>
  <c r="F18"/>
  <c r="G18"/>
  <c r="F19"/>
  <c r="G19"/>
  <c r="F20"/>
  <c r="G20"/>
  <c r="F21"/>
  <c r="G21"/>
  <c r="F22"/>
  <c r="G22"/>
  <c r="F23"/>
  <c r="G23"/>
  <c r="F24"/>
  <c r="G24"/>
  <c r="F25"/>
  <c r="G25"/>
  <c r="F26"/>
  <c r="G26"/>
  <c r="F27"/>
  <c r="G27"/>
  <c r="F28"/>
  <c r="G28"/>
  <c r="F29"/>
  <c r="G29"/>
  <c r="F30"/>
  <c r="G30"/>
  <c r="F31"/>
  <c r="G31"/>
  <c r="F32"/>
  <c r="G32"/>
  <c r="F33"/>
  <c r="G33"/>
  <c r="F34"/>
  <c r="G34"/>
  <c r="F35"/>
  <c r="G35"/>
  <c r="F36"/>
  <c r="G36"/>
  <c r="F38"/>
  <c r="G38"/>
  <c r="F39"/>
  <c r="G39"/>
  <c r="F40"/>
  <c r="G40"/>
  <c r="F41"/>
  <c r="G41"/>
  <c r="F42"/>
  <c r="G42"/>
  <c r="F43"/>
  <c r="G43"/>
  <c r="F44"/>
  <c r="G44"/>
  <c r="F45"/>
  <c r="G45"/>
  <c r="F46"/>
  <c r="G46"/>
  <c r="F47"/>
  <c r="G47"/>
  <c r="F48"/>
  <c r="G48"/>
  <c r="F49"/>
  <c r="G49"/>
  <c r="F50"/>
  <c r="G50"/>
  <c r="F51"/>
  <c r="G51"/>
  <c r="F52"/>
  <c r="G52"/>
  <c r="F53"/>
  <c r="G53"/>
  <c r="F54"/>
  <c r="G54"/>
  <c r="F55"/>
  <c r="G55"/>
  <c r="F56"/>
  <c r="G56"/>
  <c r="F57"/>
  <c r="G57"/>
  <c r="F58"/>
  <c r="G58"/>
  <c r="F59"/>
  <c r="G59"/>
  <c r="F60"/>
  <c r="G60"/>
  <c r="F61"/>
  <c r="G61"/>
  <c r="F62"/>
  <c r="G62"/>
  <c r="F63"/>
  <c r="G63"/>
  <c r="F64"/>
  <c r="G64"/>
  <c r="F65"/>
  <c r="G65"/>
  <c r="F66"/>
  <c r="G66"/>
  <c r="F67"/>
  <c r="G67"/>
  <c r="F68"/>
  <c r="G68"/>
  <c r="F69"/>
  <c r="G69"/>
  <c r="F70"/>
  <c r="G70"/>
  <c r="F71"/>
  <c r="G71"/>
  <c r="F72"/>
  <c r="G72"/>
  <c r="F48" i="2"/>
  <c r="G8" i="3"/>
  <c r="G48" i="2"/>
  <c r="F8" i="3"/>
  <c r="F68"/>
  <c r="G43"/>
  <c r="F43"/>
  <c r="G68"/>
  <c r="F65"/>
  <c r="F60"/>
  <c r="G60"/>
  <c r="F70" i="2"/>
  <c r="G70"/>
  <c r="G65" i="3"/>
  <c r="G37" i="4"/>
  <c r="G37" i="3"/>
  <c r="F37" i="4"/>
  <c r="F37" i="3"/>
  <c r="F14" i="8"/>
  <c r="G14"/>
  <c r="F68"/>
  <c r="G62"/>
  <c r="G58"/>
  <c r="G54"/>
  <c r="G50"/>
  <c r="F39"/>
  <c r="G33"/>
  <c r="G27"/>
  <c r="G23"/>
  <c r="G19"/>
  <c r="G15"/>
  <c r="F4"/>
  <c r="G68"/>
  <c r="F24"/>
  <c r="G4"/>
  <c r="F62"/>
  <c r="F58"/>
  <c r="F54"/>
  <c r="F50"/>
  <c r="F33"/>
  <c r="F27"/>
  <c r="F23"/>
  <c r="F19"/>
  <c r="F15"/>
  <c r="G39"/>
  <c r="G24"/>
  <c r="F18"/>
  <c r="G35"/>
  <c r="F2"/>
  <c r="G18"/>
  <c r="F35"/>
  <c r="G13"/>
  <c r="F13"/>
  <c r="G2"/>
  <c r="G69"/>
  <c r="F40"/>
  <c r="F8"/>
  <c r="F52"/>
  <c r="F43"/>
  <c r="F59" i="2"/>
  <c r="G67" i="8"/>
  <c r="F5"/>
  <c r="F49"/>
  <c r="G9"/>
  <c r="F64"/>
  <c r="F47"/>
  <c r="G65" i="2"/>
  <c r="F22" i="8"/>
  <c r="F57"/>
  <c r="F7"/>
  <c r="G3"/>
  <c r="F65" i="2"/>
  <c r="F20" i="8"/>
  <c r="F60" i="2"/>
  <c r="G22" i="8"/>
  <c r="F67"/>
  <c r="F17"/>
  <c r="F3"/>
  <c r="G60"/>
  <c r="F29"/>
  <c r="F53"/>
  <c r="F59"/>
  <c r="G64"/>
  <c r="F65"/>
  <c r="G47"/>
  <c r="G52"/>
  <c r="G49"/>
  <c r="F32"/>
  <c r="F12"/>
  <c r="F70"/>
  <c r="F44"/>
  <c r="G57"/>
  <c r="G63"/>
  <c r="F28"/>
  <c r="F60"/>
  <c r="F48"/>
  <c r="F34"/>
  <c r="F69"/>
  <c r="G17"/>
  <c r="G30"/>
  <c r="G7"/>
  <c r="G20"/>
  <c r="F55"/>
  <c r="F63"/>
  <c r="G5"/>
  <c r="G29"/>
  <c r="F38"/>
  <c r="F9"/>
  <c r="G59" i="2"/>
  <c r="G42" i="8"/>
  <c r="G32"/>
  <c r="G44"/>
  <c r="G59"/>
  <c r="F25"/>
  <c r="G12"/>
  <c r="F37"/>
  <c r="G55"/>
  <c r="G28"/>
  <c r="G37"/>
  <c r="G65"/>
  <c r="G40"/>
  <c r="G38"/>
  <c r="G48"/>
  <c r="F42"/>
  <c r="G34"/>
  <c r="G53"/>
  <c r="G70"/>
  <c r="F30"/>
  <c r="G43"/>
  <c r="G25"/>
  <c r="G8"/>
  <c r="G60" i="2"/>
  <c r="K7" i="9" l="1"/>
  <c r="H72" i="8"/>
  <c r="H1"/>
  <c r="H36"/>
  <c r="K8" i="9"/>
  <c r="H34" i="8"/>
  <c r="H40"/>
  <c r="K2" i="9"/>
  <c r="K4"/>
  <c r="K6"/>
  <c r="K3"/>
  <c r="K5"/>
  <c r="H47" i="8"/>
  <c r="H9"/>
  <c r="H13"/>
  <c r="H15"/>
  <c r="H17"/>
  <c r="H33"/>
  <c r="H64"/>
  <c r="H24"/>
  <c r="H32"/>
  <c r="H65"/>
  <c r="H2"/>
  <c r="H4"/>
  <c r="H8"/>
  <c r="H68"/>
  <c r="H56"/>
  <c r="H41"/>
  <c r="H45"/>
  <c r="H49"/>
  <c r="H66"/>
  <c r="H18"/>
  <c r="H50"/>
  <c r="H16"/>
  <c r="H25"/>
  <c r="H29"/>
  <c r="H31"/>
  <c r="H48"/>
  <c r="H57"/>
  <c r="H61"/>
  <c r="H63"/>
  <c r="H20"/>
  <c r="H52"/>
  <c r="H5"/>
  <c r="H7"/>
  <c r="H10"/>
  <c r="H12"/>
  <c r="H21"/>
  <c r="H23"/>
  <c r="H26"/>
  <c r="H28"/>
  <c r="H37"/>
  <c r="H39"/>
  <c r="H42"/>
  <c r="H44"/>
  <c r="H53"/>
  <c r="H55"/>
  <c r="H58"/>
  <c r="H60"/>
  <c r="H69"/>
  <c r="H71"/>
  <c r="H3"/>
  <c r="H6"/>
  <c r="H11"/>
  <c r="H14"/>
  <c r="H19"/>
  <c r="H22"/>
  <c r="H27"/>
  <c r="H30"/>
  <c r="H35"/>
  <c r="H38"/>
  <c r="H43"/>
  <c r="H46"/>
  <c r="H51"/>
  <c r="H54"/>
  <c r="H59"/>
  <c r="H62"/>
  <c r="H67"/>
  <c r="H70"/>
  <c r="H45" i="2"/>
  <c r="H48" i="4"/>
  <c r="H40"/>
  <c r="H35"/>
  <c r="H33"/>
  <c r="H18" i="3"/>
  <c r="H53" i="2"/>
  <c r="H51"/>
  <c r="H49"/>
  <c r="H46"/>
  <c r="H42"/>
  <c r="H34"/>
  <c r="H30"/>
  <c r="H33"/>
  <c r="H64" i="3"/>
  <c r="H55"/>
  <c r="H51"/>
  <c r="H42"/>
  <c r="H31"/>
  <c r="H23"/>
  <c r="H19"/>
  <c r="H34"/>
  <c r="H22"/>
  <c r="H51" i="4"/>
  <c r="H39"/>
  <c r="H22"/>
  <c r="H15" i="3"/>
  <c r="H6"/>
  <c r="H4"/>
  <c r="H2"/>
  <c r="H58" i="2"/>
  <c r="H54"/>
  <c r="H27" i="4"/>
  <c r="H25"/>
  <c r="H23"/>
  <c r="H21"/>
  <c r="H19"/>
  <c r="H17"/>
  <c r="H66" i="3"/>
  <c r="H50"/>
  <c r="H48"/>
  <c r="H46"/>
  <c r="H44"/>
  <c r="H54"/>
  <c r="H67" i="4"/>
  <c r="H65"/>
  <c r="H63"/>
  <c r="H61"/>
  <c r="H59"/>
  <c r="H57"/>
  <c r="H8"/>
  <c r="H72" i="3"/>
  <c r="H70"/>
  <c r="H67"/>
  <c r="H45"/>
  <c r="H39"/>
  <c r="H5"/>
  <c r="H57" i="2"/>
  <c r="H29"/>
  <c r="H27"/>
  <c r="H25"/>
  <c r="H23"/>
  <c r="H21"/>
  <c r="H19"/>
  <c r="H13"/>
  <c r="H11"/>
  <c r="H9"/>
  <c r="H7"/>
  <c r="H5"/>
  <c r="H3"/>
  <c r="H62" i="4"/>
  <c r="H11"/>
  <c r="H69" i="3"/>
  <c r="H24" i="2"/>
  <c r="H8"/>
  <c r="H15" i="4"/>
  <c r="H13" i="3"/>
  <c r="H69" i="2"/>
  <c r="H40"/>
  <c r="H1"/>
  <c r="H71" i="4"/>
  <c r="H64"/>
  <c r="H56"/>
  <c r="H52"/>
  <c r="H46"/>
  <c r="H31"/>
  <c r="H24"/>
  <c r="H16"/>
  <c r="H12"/>
  <c r="H6"/>
  <c r="H63" i="3"/>
  <c r="H58"/>
  <c r="H56"/>
  <c r="H40"/>
  <c r="H38"/>
  <c r="H35"/>
  <c r="H29"/>
  <c r="H16"/>
  <c r="H14"/>
  <c r="H12"/>
  <c r="H10"/>
  <c r="H7"/>
  <c r="H71" i="2"/>
  <c r="H66"/>
  <c r="H63"/>
  <c r="H61"/>
  <c r="H43"/>
  <c r="H41"/>
  <c r="H39"/>
  <c r="H37"/>
  <c r="H35"/>
  <c r="H17"/>
  <c r="H10"/>
  <c r="H2"/>
  <c r="H55" i="4"/>
  <c r="H62" i="3"/>
  <c r="H64" i="2"/>
  <c r="H72" i="4"/>
  <c r="H68"/>
  <c r="H49"/>
  <c r="H47"/>
  <c r="H45"/>
  <c r="H43"/>
  <c r="H41"/>
  <c r="H32"/>
  <c r="H28"/>
  <c r="H9"/>
  <c r="H7"/>
  <c r="H5"/>
  <c r="H3"/>
  <c r="H1"/>
  <c r="H71" i="3"/>
  <c r="H47"/>
  <c r="H32"/>
  <c r="H30"/>
  <c r="H28"/>
  <c r="H26"/>
  <c r="H24"/>
  <c r="H50" i="2"/>
  <c r="H26"/>
  <c r="H18"/>
  <c r="H14"/>
  <c r="H10" i="4"/>
  <c r="H41" i="3"/>
  <c r="H72" i="2"/>
  <c r="H44"/>
  <c r="H69" i="4"/>
  <c r="H60"/>
  <c r="H58"/>
  <c r="H53"/>
  <c r="H44"/>
  <c r="H42"/>
  <c r="H36"/>
  <c r="H34"/>
  <c r="H29"/>
  <c r="H20"/>
  <c r="H18"/>
  <c r="H13"/>
  <c r="H4"/>
  <c r="H2"/>
  <c r="H59" i="3"/>
  <c r="H57"/>
  <c r="H52"/>
  <c r="H36"/>
  <c r="H27"/>
  <c r="H25"/>
  <c r="H20"/>
  <c r="H11"/>
  <c r="H9"/>
  <c r="H3"/>
  <c r="H1"/>
  <c r="H67" i="2"/>
  <c r="H62"/>
  <c r="H55"/>
  <c r="H47"/>
  <c r="H38"/>
  <c r="H36"/>
  <c r="H31"/>
  <c r="H22"/>
  <c r="H20"/>
  <c r="H15"/>
  <c r="H6"/>
  <c r="H4"/>
  <c r="H66" i="4"/>
  <c r="H50"/>
  <c r="H26"/>
  <c r="H49" i="3"/>
  <c r="H33"/>
  <c r="H17"/>
  <c r="H52" i="2"/>
  <c r="H28"/>
  <c r="H12"/>
  <c r="H70" i="4"/>
  <c r="H54"/>
  <c r="H38"/>
  <c r="H30"/>
  <c r="H14"/>
  <c r="H61" i="3"/>
  <c r="H53"/>
  <c r="H21"/>
  <c r="H68" i="2"/>
  <c r="H56"/>
  <c r="H32"/>
  <c r="H16"/>
  <c r="H59"/>
  <c r="H43" i="3"/>
  <c r="H65" i="2"/>
  <c r="H37" i="4"/>
  <c r="H68" i="3"/>
  <c r="H60"/>
  <c r="H8"/>
  <c r="H70" i="2"/>
  <c r="H65" i="3"/>
  <c r="H37"/>
  <c r="H60" i="2"/>
  <c r="H48"/>
  <c r="L2" i="6"/>
  <c r="L3"/>
  <c r="L4"/>
  <c r="L5"/>
  <c r="L6"/>
  <c r="L7"/>
  <c r="L8"/>
  <c r="L2" i="5"/>
  <c r="L3"/>
  <c r="L4"/>
  <c r="L5"/>
  <c r="L6"/>
  <c r="L7"/>
  <c r="L8"/>
  <c r="L2" i="1"/>
  <c r="L3"/>
  <c r="L4"/>
  <c r="L5"/>
  <c r="L6"/>
  <c r="L7"/>
  <c r="L8"/>
  <c r="H73" i="4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73" i="2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59" i="7"/>
  <c r="E54"/>
  <c r="B57"/>
  <c r="G38"/>
  <c r="D50"/>
  <c r="C27"/>
  <c r="C34"/>
  <c r="G44"/>
  <c r="D47"/>
  <c r="D25"/>
  <c r="H35"/>
  <c r="C60"/>
  <c r="E26"/>
  <c r="F46"/>
  <c r="H58"/>
  <c r="E60"/>
  <c r="B56"/>
  <c r="H48"/>
  <c r="F40"/>
  <c r="H25"/>
  <c r="F49"/>
  <c r="G48"/>
  <c r="B38"/>
  <c r="G28"/>
  <c r="C24"/>
  <c r="H37"/>
  <c r="B40"/>
  <c r="D49"/>
  <c r="G60"/>
  <c r="E55"/>
  <c r="B58"/>
  <c r="B46"/>
  <c r="G25"/>
  <c r="H36"/>
  <c r="G36"/>
  <c r="E36"/>
  <c r="C29"/>
  <c r="G45"/>
  <c r="G27"/>
  <c r="H49"/>
  <c r="D48"/>
  <c r="D24"/>
  <c r="F60"/>
  <c r="H47"/>
  <c r="C30"/>
  <c r="F27"/>
  <c r="G24"/>
  <c r="C28"/>
  <c r="B35"/>
  <c r="F39"/>
  <c r="F44"/>
  <c r="H27"/>
  <c r="D37"/>
  <c r="D29"/>
  <c r="E59"/>
  <c r="G35"/>
  <c r="G26"/>
  <c r="C54"/>
  <c r="F47"/>
  <c r="F36"/>
  <c r="F24"/>
  <c r="C40"/>
  <c r="C47"/>
  <c r="D34"/>
  <c r="D58"/>
  <c r="H24"/>
  <c r="B29"/>
  <c r="B39"/>
  <c r="H57"/>
  <c r="D38"/>
  <c r="H44"/>
  <c r="D57"/>
  <c r="E48"/>
  <c r="E28"/>
  <c r="F45"/>
  <c r="D44"/>
  <c r="D45"/>
  <c r="B30"/>
  <c r="D59"/>
  <c r="E38"/>
  <c r="C50"/>
  <c r="F30"/>
  <c r="D30"/>
  <c r="C37"/>
  <c r="E40"/>
  <c r="H55"/>
  <c r="F57"/>
  <c r="C58"/>
  <c r="E50"/>
  <c r="B48"/>
  <c r="E35"/>
  <c r="B25"/>
  <c r="C46"/>
  <c r="B45"/>
  <c r="B37"/>
  <c r="E24"/>
  <c r="E56"/>
  <c r="G37"/>
  <c r="F25"/>
  <c r="H54"/>
  <c r="F56"/>
  <c r="C57"/>
  <c r="G47"/>
  <c r="E44"/>
  <c r="C26"/>
  <c r="H26"/>
  <c r="E45"/>
  <c r="F34"/>
  <c r="B27"/>
  <c r="C36"/>
  <c r="C56"/>
  <c r="F35"/>
  <c r="C44"/>
  <c r="H56"/>
  <c r="E58"/>
  <c r="C59"/>
  <c r="E46"/>
  <c r="H45"/>
  <c r="E29"/>
  <c r="C48"/>
  <c r="B36"/>
  <c r="B47"/>
  <c r="E25"/>
  <c r="D28"/>
  <c r="B59"/>
  <c r="C49"/>
  <c r="D40"/>
  <c r="D55"/>
  <c r="F37"/>
  <c r="B50"/>
  <c r="F26"/>
  <c r="F55"/>
  <c r="B28"/>
  <c r="F59"/>
  <c r="D54"/>
  <c r="E34"/>
  <c r="E30"/>
  <c r="D35"/>
  <c r="G40"/>
  <c r="G46"/>
  <c r="F54"/>
  <c r="F50"/>
  <c r="H38"/>
  <c r="F29"/>
  <c r="B26"/>
  <c r="D60"/>
  <c r="H46"/>
  <c r="G56"/>
  <c r="B55"/>
  <c r="E39"/>
  <c r="G34"/>
  <c r="B49"/>
  <c r="H39"/>
  <c r="C38"/>
  <c r="G55"/>
  <c r="B60"/>
  <c r="E49"/>
  <c r="H34"/>
  <c r="C39"/>
  <c r="G54"/>
  <c r="D39"/>
  <c r="G57"/>
  <c r="G50"/>
  <c r="G30"/>
  <c r="H29"/>
  <c r="H28"/>
  <c r="G58"/>
  <c r="D27"/>
  <c r="K3" i="6" l="1"/>
  <c r="H18" i="7"/>
  <c r="H19"/>
  <c r="H16"/>
  <c r="H15"/>
  <c r="H17"/>
  <c r="H14"/>
  <c r="G20"/>
  <c r="G17"/>
  <c r="G16"/>
  <c r="G18"/>
  <c r="G14"/>
  <c r="G15"/>
  <c r="F20"/>
  <c r="F19"/>
  <c r="F14"/>
  <c r="F16"/>
  <c r="F15"/>
  <c r="F17"/>
  <c r="E14"/>
  <c r="E15"/>
  <c r="E16"/>
  <c r="E20"/>
  <c r="E18"/>
  <c r="E19"/>
  <c r="D18"/>
  <c r="D20"/>
  <c r="D19"/>
  <c r="D17"/>
  <c r="D15"/>
  <c r="D14"/>
  <c r="C14"/>
  <c r="C18"/>
  <c r="C19"/>
  <c r="C17"/>
  <c r="C16"/>
  <c r="C20"/>
  <c r="B20"/>
  <c r="B17"/>
  <c r="B16"/>
  <c r="B18"/>
  <c r="B19"/>
  <c r="B15"/>
  <c r="K8" i="5"/>
  <c r="K3"/>
  <c r="K8" i="6"/>
  <c r="K2"/>
  <c r="K5"/>
  <c r="K7"/>
  <c r="K6"/>
  <c r="K4"/>
  <c r="K2" i="1"/>
  <c r="K3"/>
  <c r="K5"/>
  <c r="K7"/>
  <c r="K6"/>
  <c r="K8"/>
  <c r="K4"/>
  <c r="K4" i="5"/>
  <c r="K2"/>
  <c r="K7"/>
  <c r="K6"/>
  <c r="K5"/>
  <c r="C12" i="7" l="1"/>
  <c r="A13"/>
  <c r="G12"/>
  <c r="B12"/>
  <c r="H12"/>
  <c r="E12"/>
  <c r="D12"/>
  <c r="F12"/>
</calcChain>
</file>

<file path=xl/sharedStrings.xml><?xml version="1.0" encoding="utf-8"?>
<sst xmlns="http://schemas.openxmlformats.org/spreadsheetml/2006/main" count="658" uniqueCount="130">
  <si>
    <t>队名</t>
    <phoneticPr fontId="1"/>
  </si>
  <si>
    <t>排名</t>
    <phoneticPr fontId="1"/>
  </si>
  <si>
    <t>比分</t>
    <phoneticPr fontId="1"/>
  </si>
  <si>
    <t>统计到</t>
    <phoneticPr fontId="1"/>
  </si>
  <si>
    <r>
      <t>球</t>
    </r>
    <r>
      <rPr>
        <sz val="11"/>
        <color theme="1"/>
        <rFont val="ＭＳ Ｐゴシック"/>
        <family val="3"/>
        <charset val="134"/>
        <scheme val="minor"/>
      </rPr>
      <t>队数</t>
    </r>
    <phoneticPr fontId="1"/>
  </si>
  <si>
    <r>
      <t>循</t>
    </r>
    <r>
      <rPr>
        <sz val="11"/>
        <color theme="1"/>
        <rFont val="ＭＳ Ｐゴシック"/>
        <family val="3"/>
        <charset val="134"/>
        <scheme val="minor"/>
      </rPr>
      <t>环数</t>
    </r>
    <phoneticPr fontId="1"/>
  </si>
  <si>
    <t>轮</t>
    <phoneticPr fontId="1"/>
  </si>
  <si>
    <t>支</t>
    <phoneticPr fontId="1"/>
  </si>
  <si>
    <t>次</t>
    <phoneticPr fontId="1"/>
  </si>
  <si>
    <t>第1輪</t>
  </si>
  <si>
    <t>第2輪</t>
  </si>
  <si>
    <t>第3輪</t>
  </si>
  <si>
    <t>尤文图斯</t>
  </si>
  <si>
    <t>塞维利亚</t>
  </si>
  <si>
    <t>莫斯科中央陆军</t>
  </si>
  <si>
    <t>第4輪</t>
  </si>
  <si>
    <t>第5輪</t>
  </si>
  <si>
    <t>第6輪</t>
  </si>
  <si>
    <t>第7輪</t>
  </si>
  <si>
    <t>胜</t>
    <phoneticPr fontId="1"/>
  </si>
  <si>
    <t>平</t>
    <phoneticPr fontId="1"/>
  </si>
  <si>
    <t>负</t>
    <phoneticPr fontId="1"/>
  </si>
  <si>
    <t>失</t>
    <phoneticPr fontId="1"/>
  </si>
  <si>
    <r>
      <t>净</t>
    </r>
    <r>
      <rPr>
        <sz val="11"/>
        <color theme="1"/>
        <rFont val="ＭＳ Ｐゴシック"/>
        <family val="3"/>
        <charset val="136"/>
        <scheme val="minor"/>
      </rPr>
      <t/>
    </r>
    <phoneticPr fontId="1"/>
  </si>
  <si>
    <t>进</t>
    <phoneticPr fontId="1"/>
  </si>
  <si>
    <t>积分</t>
    <phoneticPr fontId="1"/>
  </si>
  <si>
    <t>总</t>
    <phoneticPr fontId="1"/>
  </si>
  <si>
    <t>皇家马德里</t>
  </si>
  <si>
    <t>毕尔巴鄂竞技</t>
  </si>
  <si>
    <t>瓦伦西亚</t>
  </si>
  <si>
    <t>第8輪</t>
  </si>
  <si>
    <t>第9輪</t>
  </si>
  <si>
    <t>第10輪</t>
  </si>
  <si>
    <t>第11輪</t>
  </si>
  <si>
    <t>第12輪</t>
  </si>
  <si>
    <t>第13輪</t>
  </si>
  <si>
    <t>第14輪</t>
  </si>
  <si>
    <t>加拉塔萨雷</t>
  </si>
  <si>
    <t>奥林匹亚科斯</t>
  </si>
  <si>
    <t>那不勒斯</t>
  </si>
  <si>
    <t>拉齐奥</t>
  </si>
  <si>
    <t>国际米兰</t>
  </si>
  <si>
    <t>贝</t>
    <phoneticPr fontId="1"/>
  </si>
  <si>
    <t>塞维利亚</t>
    <rPh sb="0" eb="1">
      <t>sai wei li ya</t>
    </rPh>
    <phoneticPr fontId="9" type="noConversion"/>
  </si>
  <si>
    <t>磊</t>
  </si>
  <si>
    <t>国际米兰</t>
    <rPh sb="0" eb="1">
      <t>guo ji mi lan</t>
    </rPh>
    <phoneticPr fontId="9" type="noConversion"/>
  </si>
  <si>
    <t>二</t>
    <phoneticPr fontId="1"/>
  </si>
  <si>
    <t>举</t>
    <rPh sb="0" eb="1">
      <t>ju</t>
    </rPh>
    <phoneticPr fontId="1"/>
  </si>
  <si>
    <t>爷</t>
  </si>
  <si>
    <t>黑</t>
    <rPh sb="0" eb="1">
      <t>hei</t>
    </rPh>
    <phoneticPr fontId="1"/>
  </si>
  <si>
    <t>宇</t>
    <rPh sb="0" eb="1">
      <t>yu</t>
    </rPh>
    <phoneticPr fontId="1"/>
  </si>
  <si>
    <t>欧冠</t>
    <phoneticPr fontId="1"/>
  </si>
  <si>
    <t>贝</t>
  </si>
  <si>
    <t>二</t>
  </si>
  <si>
    <t>意甲</t>
    <phoneticPr fontId="1"/>
  </si>
  <si>
    <r>
      <t>欧</t>
    </r>
    <r>
      <rPr>
        <sz val="11"/>
        <color theme="1"/>
        <rFont val="ＭＳ Ｐゴシック"/>
        <family val="3"/>
        <charset val="134"/>
        <scheme val="minor"/>
      </rPr>
      <t>联</t>
    </r>
  </si>
  <si>
    <t>西甲</t>
    <phoneticPr fontId="1"/>
  </si>
  <si>
    <t>B</t>
    <phoneticPr fontId="1"/>
  </si>
  <si>
    <t>C</t>
    <phoneticPr fontId="1"/>
  </si>
  <si>
    <t>D</t>
    <phoneticPr fontId="1"/>
  </si>
  <si>
    <r>
      <t>欧</t>
    </r>
    <r>
      <rPr>
        <sz val="11"/>
        <color theme="1"/>
        <rFont val="ＭＳ Ｐゴシック"/>
        <family val="3"/>
        <charset val="134"/>
        <scheme val="minor"/>
      </rPr>
      <t>联</t>
    </r>
    <phoneticPr fontId="1"/>
  </si>
  <si>
    <t>理分</t>
    <phoneticPr fontId="1"/>
  </si>
  <si>
    <t>巴黎圣日耳曼</t>
  </si>
  <si>
    <t>本菲卡</t>
  </si>
  <si>
    <t>E</t>
    <phoneticPr fontId="1"/>
  </si>
  <si>
    <r>
      <rPr>
        <sz val="11"/>
        <color theme="0"/>
        <rFont val="ＭＳ Ｐゴシック"/>
        <family val="3"/>
        <charset val="134"/>
        <scheme val="minor"/>
      </rPr>
      <t>队</t>
    </r>
    <r>
      <rPr>
        <sz val="11"/>
        <color theme="0"/>
        <rFont val="ＭＳ Ｐゴシック"/>
        <family val="3"/>
        <charset val="128"/>
        <scheme val="minor"/>
      </rPr>
      <t>名</t>
    </r>
    <phoneticPr fontId="1"/>
  </si>
  <si>
    <r>
      <rPr>
        <sz val="11"/>
        <color theme="0"/>
        <rFont val="ＭＳ Ｐゴシック"/>
        <family val="3"/>
        <charset val="134"/>
        <scheme val="minor"/>
      </rPr>
      <t>总</t>
    </r>
    <phoneticPr fontId="1"/>
  </si>
  <si>
    <r>
      <rPr>
        <sz val="11"/>
        <color theme="0"/>
        <rFont val="ＭＳ Ｐゴシック"/>
        <family val="3"/>
        <charset val="136"/>
        <scheme val="minor"/>
      </rPr>
      <t>胜</t>
    </r>
    <phoneticPr fontId="1"/>
  </si>
  <si>
    <r>
      <rPr>
        <sz val="11"/>
        <color theme="0"/>
        <rFont val="ＭＳ Ｐゴシック"/>
        <family val="3"/>
        <charset val="134"/>
        <scheme val="minor"/>
      </rPr>
      <t>负</t>
    </r>
    <phoneticPr fontId="1"/>
  </si>
  <si>
    <r>
      <rPr>
        <sz val="11"/>
        <color theme="0"/>
        <rFont val="ＭＳ Ｐゴシック"/>
        <family val="3"/>
        <charset val="134"/>
        <scheme val="minor"/>
      </rPr>
      <t>进</t>
    </r>
    <phoneticPr fontId="1"/>
  </si>
  <si>
    <r>
      <rPr>
        <sz val="11"/>
        <color theme="0"/>
        <rFont val="ＭＳ Ｐゴシック"/>
        <family val="3"/>
        <charset val="134"/>
        <scheme val="minor"/>
      </rPr>
      <t>净</t>
    </r>
    <r>
      <rPr>
        <sz val="11"/>
        <color theme="1"/>
        <rFont val="ＭＳ Ｐゴシック"/>
        <family val="3"/>
        <charset val="136"/>
        <scheme val="minor"/>
      </rPr>
      <t/>
    </r>
    <phoneticPr fontId="1"/>
  </si>
  <si>
    <r>
      <rPr>
        <sz val="11"/>
        <color theme="0"/>
        <rFont val="ＭＳ Ｐゴシック"/>
        <family val="3"/>
        <charset val="134"/>
        <scheme val="minor"/>
      </rPr>
      <t>积</t>
    </r>
    <r>
      <rPr>
        <sz val="11"/>
        <color theme="0"/>
        <rFont val="ＭＳ Ｐゴシック"/>
        <family val="3"/>
        <charset val="128"/>
        <scheme val="minor"/>
      </rPr>
      <t>分</t>
    </r>
    <phoneticPr fontId="1"/>
  </si>
  <si>
    <t>拜仁慕尼黑</t>
  </si>
  <si>
    <t>切尔西</t>
  </si>
  <si>
    <r>
      <t>博洛尼</t>
    </r>
    <r>
      <rPr>
        <sz val="11"/>
        <color theme="1"/>
        <rFont val="ＭＳ Ｐゴシック"/>
        <family val="3"/>
        <charset val="134"/>
        <scheme val="minor"/>
      </rPr>
      <t>亚</t>
    </r>
    <phoneticPr fontId="1"/>
  </si>
  <si>
    <r>
      <t>尤文</t>
    </r>
    <r>
      <rPr>
        <sz val="11"/>
        <color theme="1"/>
        <rFont val="ＭＳ Ｐゴシック"/>
        <family val="3"/>
        <charset val="134"/>
        <scheme val="minor"/>
      </rPr>
      <t>图斯</t>
    </r>
    <phoneticPr fontId="1"/>
  </si>
  <si>
    <r>
      <t>AC米</t>
    </r>
    <r>
      <rPr>
        <sz val="11"/>
        <color theme="1"/>
        <rFont val="ＭＳ Ｐゴシック"/>
        <family val="3"/>
        <charset val="134"/>
        <scheme val="minor"/>
      </rPr>
      <t>兰</t>
    </r>
    <phoneticPr fontId="1"/>
  </si>
  <si>
    <r>
      <t>拉</t>
    </r>
    <r>
      <rPr>
        <sz val="11"/>
        <color theme="1"/>
        <rFont val="ＭＳ Ｐゴシック"/>
        <family val="3"/>
        <charset val="134"/>
        <scheme val="minor"/>
      </rPr>
      <t>齐奥</t>
    </r>
    <phoneticPr fontId="1"/>
  </si>
  <si>
    <t>那不勒斯</t>
    <phoneticPr fontId="1"/>
  </si>
  <si>
    <t>亚特兰大</t>
  </si>
  <si>
    <t>亚特兰大</t>
    <phoneticPr fontId="1"/>
  </si>
  <si>
    <r>
      <t>基</t>
    </r>
    <r>
      <rPr>
        <sz val="11"/>
        <color theme="1"/>
        <rFont val="ＭＳ Ｐゴシック"/>
        <family val="3"/>
        <charset val="134"/>
        <scheme val="minor"/>
      </rPr>
      <t>辅迪纳摩</t>
    </r>
    <phoneticPr fontId="1"/>
  </si>
  <si>
    <r>
      <t>圣彼得堡</t>
    </r>
    <r>
      <rPr>
        <sz val="11"/>
        <color theme="1"/>
        <rFont val="ＭＳ Ｐゴシック"/>
        <family val="3"/>
        <charset val="134"/>
        <scheme val="minor"/>
      </rPr>
      <t>泽尼特</t>
    </r>
    <phoneticPr fontId="1"/>
  </si>
  <si>
    <t>哥本哈根</t>
  </si>
  <si>
    <t>哥本哈根</t>
    <phoneticPr fontId="1"/>
  </si>
  <si>
    <r>
      <t>加拉塔</t>
    </r>
    <r>
      <rPr>
        <sz val="11"/>
        <color theme="1"/>
        <rFont val="ＭＳ Ｐゴシック"/>
        <family val="3"/>
        <charset val="134"/>
        <scheme val="minor"/>
      </rPr>
      <t>萨雷</t>
    </r>
    <phoneticPr fontId="1"/>
  </si>
  <si>
    <t>顿涅茨克矿工</t>
  </si>
  <si>
    <t>顿涅茨克矿工</t>
    <phoneticPr fontId="1"/>
  </si>
  <si>
    <t>贝西克塔斯</t>
  </si>
  <si>
    <t>贝西克塔斯</t>
    <phoneticPr fontId="1"/>
  </si>
  <si>
    <t>莫斯科中央陆军</t>
    <phoneticPr fontId="1"/>
  </si>
  <si>
    <r>
      <t>皇家</t>
    </r>
    <r>
      <rPr>
        <sz val="11"/>
        <color theme="1"/>
        <rFont val="ＭＳ Ｐゴシック"/>
        <family val="3"/>
        <charset val="134"/>
        <scheme val="minor"/>
      </rPr>
      <t>马德里</t>
    </r>
    <phoneticPr fontId="1"/>
  </si>
  <si>
    <t>马德里竞技</t>
  </si>
  <si>
    <t>马德里竞技</t>
    <phoneticPr fontId="1"/>
  </si>
  <si>
    <t>赫塔菲</t>
  </si>
  <si>
    <t>赫塔菲</t>
    <phoneticPr fontId="1"/>
  </si>
  <si>
    <t>毕尔巴鄂竞技</t>
    <phoneticPr fontId="1"/>
  </si>
  <si>
    <r>
      <t>瓦</t>
    </r>
    <r>
      <rPr>
        <sz val="11"/>
        <color theme="1"/>
        <rFont val="ＭＳ Ｐゴシック"/>
        <family val="3"/>
        <charset val="134"/>
        <scheme val="minor"/>
      </rPr>
      <t>伦西亚</t>
    </r>
    <phoneticPr fontId="1"/>
  </si>
  <si>
    <t>莱加内斯</t>
  </si>
  <si>
    <t>莱加内斯</t>
    <phoneticPr fontId="1"/>
  </si>
  <si>
    <t>圣彼得堡泽尼特</t>
  </si>
  <si>
    <t>基辅迪纳摩</t>
  </si>
  <si>
    <t>AC米兰</t>
  </si>
  <si>
    <t>博洛尼亚</t>
  </si>
  <si>
    <t>拜仁慕尼黑</t>
    <phoneticPr fontId="1"/>
  </si>
  <si>
    <t>本菲卡</t>
    <phoneticPr fontId="1"/>
  </si>
  <si>
    <t>切尔西</t>
    <phoneticPr fontId="1"/>
  </si>
  <si>
    <t>巴黎圣日耳曼</t>
    <phoneticPr fontId="1"/>
  </si>
  <si>
    <t>塞维利亚</t>
    <phoneticPr fontId="1"/>
  </si>
  <si>
    <t>奥林匹亚科斯</t>
    <phoneticPr fontId="1"/>
  </si>
  <si>
    <t>国际米兰</t>
    <phoneticPr fontId="1"/>
  </si>
  <si>
    <t>拉齐奥</t>
    <phoneticPr fontId="1"/>
  </si>
  <si>
    <t>AC米兰</t>
    <phoneticPr fontId="1"/>
  </si>
  <si>
    <t>那不勒斯</t>
    <phoneticPr fontId="1"/>
  </si>
  <si>
    <t>尤文图斯</t>
    <phoneticPr fontId="1"/>
  </si>
  <si>
    <t>亚特兰大</t>
    <phoneticPr fontId="1"/>
  </si>
  <si>
    <t>博洛尼亚</t>
    <phoneticPr fontId="1"/>
  </si>
  <si>
    <t>顿涅茨克矿工</t>
    <phoneticPr fontId="1"/>
  </si>
  <si>
    <t>加拉塔萨雷</t>
    <phoneticPr fontId="1"/>
  </si>
  <si>
    <t>贝西克塔斯</t>
    <phoneticPr fontId="1"/>
  </si>
  <si>
    <t>哥本哈根</t>
    <phoneticPr fontId="1"/>
  </si>
  <si>
    <t>莫斯科中央陆军</t>
    <phoneticPr fontId="1"/>
  </si>
  <si>
    <t>圣彼得堡泽尼特</t>
    <phoneticPr fontId="1"/>
  </si>
  <si>
    <t>基辅迪纳摩</t>
    <phoneticPr fontId="1"/>
  </si>
  <si>
    <t>毕尔巴鄂竞技</t>
    <phoneticPr fontId="1"/>
  </si>
  <si>
    <t>赫塔菲</t>
    <phoneticPr fontId="1"/>
  </si>
  <si>
    <t>马德里竞技</t>
    <phoneticPr fontId="1"/>
  </si>
  <si>
    <t>皇家马德里</t>
    <phoneticPr fontId="1"/>
  </si>
  <si>
    <t>瓦伦西亚</t>
    <phoneticPr fontId="1"/>
  </si>
  <si>
    <t>莱加内斯</t>
    <phoneticPr fontId="1"/>
  </si>
</sst>
</file>

<file path=xl/styles.xml><?xml version="1.0" encoding="utf-8"?>
<styleSheet xmlns="http://schemas.openxmlformats.org/spreadsheetml/2006/main">
  <fonts count="16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34"/>
      <scheme val="minor"/>
    </font>
    <font>
      <sz val="11"/>
      <color theme="1"/>
      <name val="ＭＳ Ｐゴシック"/>
      <family val="3"/>
      <charset val="136"/>
      <scheme val="minor"/>
    </font>
    <font>
      <sz val="11"/>
      <color rgb="FF000000"/>
      <name val="ＭＳ Ｐゴシック"/>
      <family val="3"/>
      <charset val="128"/>
      <scheme val="minor"/>
    </font>
    <font>
      <sz val="11"/>
      <color theme="0" tint="-0.14999847407452621"/>
      <name val="ＭＳ Ｐゴシック"/>
      <family val="3"/>
      <charset val="134"/>
      <scheme val="minor"/>
    </font>
    <font>
      <sz val="11"/>
      <color theme="0" tint="-0.1499984740745262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34"/>
      <scheme val="minor"/>
    </font>
    <font>
      <sz val="11"/>
      <color theme="0" tint="-0.249977111117893"/>
      <name val="ＭＳ Ｐゴシック"/>
      <family val="3"/>
      <charset val="134"/>
      <scheme val="minor"/>
    </font>
    <font>
      <sz val="9"/>
      <name val="ＭＳ Ｐゴシック"/>
      <family val="2"/>
      <charset val="128"/>
      <scheme val="minor"/>
    </font>
    <font>
      <sz val="11"/>
      <color theme="0" tint="-0.249977111117893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34"/>
      <scheme val="minor"/>
    </font>
    <font>
      <sz val="11"/>
      <color theme="0"/>
      <name val="ＭＳ Ｐゴシック"/>
      <family val="3"/>
      <charset val="136"/>
      <scheme val="minor"/>
    </font>
    <font>
      <sz val="11"/>
      <color rgb="FFFF0000"/>
      <name val="ＭＳ Ｐゴシック"/>
      <family val="2"/>
      <charset val="128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C97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0099"/>
        <bgColor indexed="64"/>
      </patternFill>
    </fill>
  </fills>
  <borders count="8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4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left" vertical="center"/>
    </xf>
    <xf numFmtId="0" fontId="0" fillId="2" borderId="0" xfId="0" applyFill="1">
      <alignment vertical="center"/>
    </xf>
    <xf numFmtId="0" fontId="0" fillId="2" borderId="0" xfId="0" applyFill="1" applyAlignment="1">
      <alignment vertical="center"/>
    </xf>
    <xf numFmtId="0" fontId="2" fillId="3" borderId="3" xfId="0" applyFont="1" applyFill="1" applyBorder="1">
      <alignment vertical="center"/>
    </xf>
    <xf numFmtId="0" fontId="0" fillId="3" borderId="0" xfId="0" applyFill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2" fillId="4" borderId="2" xfId="0" applyFont="1" applyFill="1" applyBorder="1">
      <alignment vertical="center"/>
    </xf>
    <xf numFmtId="0" fontId="3" fillId="4" borderId="2" xfId="0" applyFont="1" applyFill="1" applyBorder="1">
      <alignment vertical="center"/>
    </xf>
    <xf numFmtId="0" fontId="2" fillId="5" borderId="2" xfId="0" applyFont="1" applyFill="1" applyBorder="1">
      <alignment vertical="center"/>
    </xf>
    <xf numFmtId="0" fontId="0" fillId="6" borderId="2" xfId="0" applyFill="1" applyBorder="1">
      <alignment vertical="center"/>
    </xf>
    <xf numFmtId="0" fontId="2" fillId="6" borderId="2" xfId="0" applyFont="1" applyFill="1" applyBorder="1">
      <alignment vertical="center"/>
    </xf>
    <xf numFmtId="0" fontId="3" fillId="6" borderId="2" xfId="0" applyFont="1" applyFill="1" applyBorder="1">
      <alignment vertical="center"/>
    </xf>
    <xf numFmtId="0" fontId="0" fillId="5" borderId="2" xfId="0" applyFill="1" applyBorder="1">
      <alignment vertical="center"/>
    </xf>
    <xf numFmtId="0" fontId="2" fillId="7" borderId="2" xfId="0" applyFont="1" applyFill="1" applyBorder="1">
      <alignment vertical="center"/>
    </xf>
    <xf numFmtId="0" fontId="2" fillId="8" borderId="2" xfId="0" applyFont="1" applyFill="1" applyBorder="1">
      <alignment vertical="center"/>
    </xf>
    <xf numFmtId="0" fontId="3" fillId="8" borderId="2" xfId="0" applyFont="1" applyFill="1" applyBorder="1">
      <alignment vertical="center"/>
    </xf>
    <xf numFmtId="0" fontId="5" fillId="0" borderId="6" xfId="0" applyFont="1" applyFill="1" applyBorder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8" fillId="9" borderId="6" xfId="0" applyFont="1" applyFill="1" applyBorder="1">
      <alignment vertical="center"/>
    </xf>
    <xf numFmtId="0" fontId="0" fillId="11" borderId="7" xfId="0" applyFill="1" applyBorder="1">
      <alignment vertical="center"/>
    </xf>
    <xf numFmtId="0" fontId="0" fillId="0" borderId="7" xfId="0" applyFont="1" applyBorder="1">
      <alignment vertical="center"/>
    </xf>
    <xf numFmtId="0" fontId="0" fillId="0" borderId="7" xfId="0" applyBorder="1">
      <alignment vertical="center"/>
    </xf>
    <xf numFmtId="0" fontId="2" fillId="0" borderId="7" xfId="0" applyFont="1" applyBorder="1">
      <alignment vertical="center"/>
    </xf>
    <xf numFmtId="0" fontId="0" fillId="0" borderId="7" xfId="0" applyFont="1" applyFill="1" applyBorder="1">
      <alignment vertical="center"/>
    </xf>
    <xf numFmtId="0" fontId="0" fillId="9" borderId="7" xfId="0" applyFont="1" applyFill="1" applyBorder="1">
      <alignment vertical="center"/>
    </xf>
    <xf numFmtId="0" fontId="2" fillId="9" borderId="7" xfId="0" applyFont="1" applyFill="1" applyBorder="1">
      <alignment vertical="center"/>
    </xf>
    <xf numFmtId="0" fontId="0" fillId="9" borderId="7" xfId="0" applyFill="1" applyBorder="1">
      <alignment vertical="center"/>
    </xf>
    <xf numFmtId="0" fontId="0" fillId="10" borderId="7" xfId="0" applyFill="1" applyBorder="1">
      <alignment vertical="center"/>
    </xf>
    <xf numFmtId="0" fontId="0" fillId="12" borderId="0" xfId="0" applyFont="1" applyFill="1" applyBorder="1">
      <alignment vertical="center"/>
    </xf>
    <xf numFmtId="0" fontId="10" fillId="0" borderId="0" xfId="0" applyFont="1">
      <alignment vertical="center"/>
    </xf>
    <xf numFmtId="0" fontId="0" fillId="12" borderId="0" xfId="0" applyFill="1" applyBorder="1">
      <alignment vertical="center"/>
    </xf>
    <xf numFmtId="0" fontId="2" fillId="12" borderId="0" xfId="0" applyFont="1" applyFill="1">
      <alignment vertical="center"/>
    </xf>
    <xf numFmtId="0" fontId="0" fillId="12" borderId="0" xfId="0" applyFill="1">
      <alignment vertical="center"/>
    </xf>
    <xf numFmtId="0" fontId="0" fillId="13" borderId="7" xfId="0" applyFill="1" applyBorder="1">
      <alignment vertical="center"/>
    </xf>
    <xf numFmtId="0" fontId="0" fillId="5" borderId="0" xfId="0" applyFill="1">
      <alignment vertical="center"/>
    </xf>
    <xf numFmtId="0" fontId="11" fillId="14" borderId="2" xfId="0" applyFont="1" applyFill="1" applyBorder="1">
      <alignment vertical="center"/>
    </xf>
    <xf numFmtId="0" fontId="12" fillId="14" borderId="2" xfId="0" applyFont="1" applyFill="1" applyBorder="1">
      <alignment vertical="center"/>
    </xf>
    <xf numFmtId="0" fontId="15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  <colors>
    <mruColors>
      <color rgb="FF000099"/>
      <color rgb="FFF2C97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H60"/>
  <sheetViews>
    <sheetView tabSelected="1" workbookViewId="0">
      <selection activeCell="G2" sqref="G2:L8"/>
    </sheetView>
  </sheetViews>
  <sheetFormatPr defaultRowHeight="13.5" outlineLevelRow="1"/>
  <cols>
    <col min="1" max="1" width="10.375" customWidth="1"/>
    <col min="2" max="8" width="9.875" customWidth="1"/>
  </cols>
  <sheetData>
    <row r="1" spans="1:8">
      <c r="B1" s="25" t="s">
        <v>56</v>
      </c>
      <c r="C1" s="25" t="s">
        <v>60</v>
      </c>
      <c r="D1" s="25" t="s">
        <v>54</v>
      </c>
      <c r="E1" s="25" t="s">
        <v>51</v>
      </c>
    </row>
    <row r="2" spans="1:8">
      <c r="A2" s="26" t="s">
        <v>42</v>
      </c>
      <c r="B2" s="27" t="s">
        <v>99</v>
      </c>
      <c r="C2" s="27" t="s">
        <v>81</v>
      </c>
      <c r="D2" s="27" t="s">
        <v>74</v>
      </c>
      <c r="E2" s="27"/>
    </row>
    <row r="3" spans="1:8">
      <c r="A3" s="28" t="s">
        <v>44</v>
      </c>
      <c r="B3" s="27" t="s">
        <v>43</v>
      </c>
      <c r="C3" s="27" t="s">
        <v>82</v>
      </c>
      <c r="D3" s="28" t="s">
        <v>80</v>
      </c>
      <c r="E3" s="27"/>
    </row>
    <row r="4" spans="1:8">
      <c r="A4" s="27" t="s">
        <v>46</v>
      </c>
      <c r="B4" s="27" t="s">
        <v>97</v>
      </c>
      <c r="C4" s="27" t="s">
        <v>84</v>
      </c>
      <c r="D4" s="27" t="s">
        <v>45</v>
      </c>
      <c r="E4" s="27"/>
    </row>
    <row r="5" spans="1:8">
      <c r="A5" s="29" t="s">
        <v>47</v>
      </c>
      <c r="B5" s="27" t="s">
        <v>91</v>
      </c>
      <c r="C5" s="27" t="s">
        <v>85</v>
      </c>
      <c r="D5" s="27" t="s">
        <v>76</v>
      </c>
      <c r="E5" s="27"/>
    </row>
    <row r="6" spans="1:8">
      <c r="A6" s="28" t="s">
        <v>48</v>
      </c>
      <c r="B6" s="27" t="s">
        <v>95</v>
      </c>
      <c r="C6" s="28" t="s">
        <v>87</v>
      </c>
      <c r="D6" s="27" t="s">
        <v>77</v>
      </c>
      <c r="E6" s="27"/>
    </row>
    <row r="7" spans="1:8">
      <c r="A7" s="26" t="s">
        <v>49</v>
      </c>
      <c r="B7" s="28" t="s">
        <v>96</v>
      </c>
      <c r="C7" s="28" t="s">
        <v>89</v>
      </c>
      <c r="D7" s="27" t="s">
        <v>78</v>
      </c>
      <c r="E7" s="27"/>
    </row>
    <row r="8" spans="1:8">
      <c r="A8" s="26" t="s">
        <v>50</v>
      </c>
      <c r="B8" s="28" t="s">
        <v>93</v>
      </c>
      <c r="C8" s="28" t="s">
        <v>90</v>
      </c>
      <c r="D8" s="27" t="s">
        <v>75</v>
      </c>
      <c r="E8" s="27"/>
    </row>
    <row r="12" spans="1:8">
      <c r="B12">
        <f t="shared" ref="B12:G12" ca="1" si="0">SUM(B14:B20)</f>
        <v>36</v>
      </c>
      <c r="C12">
        <f t="shared" ca="1" si="0"/>
        <v>36</v>
      </c>
      <c r="D12">
        <f t="shared" ca="1" si="0"/>
        <v>36</v>
      </c>
      <c r="E12">
        <f t="shared" ca="1" si="0"/>
        <v>36</v>
      </c>
      <c r="F12">
        <f t="shared" ca="1" si="0"/>
        <v>36</v>
      </c>
      <c r="G12">
        <f t="shared" ca="1" si="0"/>
        <v>36</v>
      </c>
      <c r="H12">
        <f ca="1">SUM(H14:H20)</f>
        <v>36</v>
      </c>
    </row>
    <row r="13" spans="1:8">
      <c r="A13" s="40" t="str">
        <f ca="1">"残比"&amp;SUM(B14:H20)/2</f>
        <v>残比126</v>
      </c>
      <c r="B13" s="32" t="s">
        <v>52</v>
      </c>
      <c r="C13" s="32" t="s">
        <v>44</v>
      </c>
      <c r="D13" s="32" t="s">
        <v>53</v>
      </c>
      <c r="E13" s="32" t="s">
        <v>47</v>
      </c>
      <c r="F13" s="32" t="s">
        <v>48</v>
      </c>
      <c r="G13" s="32" t="s">
        <v>49</v>
      </c>
      <c r="H13" s="32" t="s">
        <v>50</v>
      </c>
    </row>
    <row r="14" spans="1:8">
      <c r="A14" s="30" t="s">
        <v>42</v>
      </c>
      <c r="B14" s="39"/>
      <c r="C14" s="27">
        <f ca="1">C24+C34+C44+C54</f>
        <v>6</v>
      </c>
      <c r="D14" s="27">
        <f t="shared" ref="D14:H15" ca="1" si="1">D24+D34+D44+D54</f>
        <v>6</v>
      </c>
      <c r="E14" s="27">
        <f t="shared" ca="1" si="1"/>
        <v>6</v>
      </c>
      <c r="F14" s="27">
        <f t="shared" ca="1" si="1"/>
        <v>6</v>
      </c>
      <c r="G14" s="27">
        <f t="shared" ca="1" si="1"/>
        <v>6</v>
      </c>
      <c r="H14" s="27">
        <f t="shared" ca="1" si="1"/>
        <v>6</v>
      </c>
    </row>
    <row r="15" spans="1:8">
      <c r="A15" s="31" t="s">
        <v>44</v>
      </c>
      <c r="B15" s="27">
        <f ca="1">B25+B35+B45+B55</f>
        <v>6</v>
      </c>
      <c r="C15" s="39"/>
      <c r="D15" s="27">
        <f t="shared" ca="1" si="1"/>
        <v>6</v>
      </c>
      <c r="E15" s="27">
        <f t="shared" ca="1" si="1"/>
        <v>6</v>
      </c>
      <c r="F15" s="27">
        <f t="shared" ca="1" si="1"/>
        <v>6</v>
      </c>
      <c r="G15" s="27">
        <f t="shared" ca="1" si="1"/>
        <v>6</v>
      </c>
      <c r="H15" s="27">
        <f t="shared" ca="1" si="1"/>
        <v>6</v>
      </c>
    </row>
    <row r="16" spans="1:8">
      <c r="A16" s="32" t="s">
        <v>46</v>
      </c>
      <c r="B16" s="27">
        <f t="shared" ref="B16:F20" ca="1" si="2">B26+B36+B46+B56</f>
        <v>6</v>
      </c>
      <c r="C16" s="27">
        <f t="shared" ca="1" si="2"/>
        <v>6</v>
      </c>
      <c r="D16" s="39"/>
      <c r="E16" s="27">
        <f t="shared" ref="E16:H16" ca="1" si="3">E26+E36+E46+E56</f>
        <v>6</v>
      </c>
      <c r="F16" s="27">
        <f t="shared" ca="1" si="3"/>
        <v>6</v>
      </c>
      <c r="G16" s="27">
        <f t="shared" ca="1" si="3"/>
        <v>6</v>
      </c>
      <c r="H16" s="27">
        <f t="shared" ca="1" si="3"/>
        <v>6</v>
      </c>
    </row>
    <row r="17" spans="1:8">
      <c r="A17" s="30" t="s">
        <v>47</v>
      </c>
      <c r="B17" s="27">
        <f t="shared" ca="1" si="2"/>
        <v>6</v>
      </c>
      <c r="C17" s="27">
        <f t="shared" ca="1" si="2"/>
        <v>6</v>
      </c>
      <c r="D17" s="27">
        <f t="shared" ca="1" si="2"/>
        <v>6</v>
      </c>
      <c r="E17" s="39"/>
      <c r="F17" s="27">
        <f t="shared" ref="F17:H17" ca="1" si="4">F27+F37+F47+F57</f>
        <v>6</v>
      </c>
      <c r="G17" s="27">
        <f t="shared" ca="1" si="4"/>
        <v>6</v>
      </c>
      <c r="H17" s="27">
        <f t="shared" ca="1" si="4"/>
        <v>6</v>
      </c>
    </row>
    <row r="18" spans="1:8">
      <c r="A18" s="31" t="s">
        <v>48</v>
      </c>
      <c r="B18" s="27">
        <f t="shared" ca="1" si="2"/>
        <v>6</v>
      </c>
      <c r="C18" s="27">
        <f t="shared" ca="1" si="2"/>
        <v>6</v>
      </c>
      <c r="D18" s="27">
        <f t="shared" ca="1" si="2"/>
        <v>6</v>
      </c>
      <c r="E18" s="27">
        <f t="shared" ca="1" si="2"/>
        <v>6</v>
      </c>
      <c r="F18" s="39"/>
      <c r="G18" s="27">
        <f t="shared" ref="G18:H18" ca="1" si="5">G28+G38+G48+G58</f>
        <v>6</v>
      </c>
      <c r="H18" s="27">
        <f t="shared" ca="1" si="5"/>
        <v>6</v>
      </c>
    </row>
    <row r="19" spans="1:8">
      <c r="A19" s="30" t="s">
        <v>49</v>
      </c>
      <c r="B19" s="27">
        <f t="shared" ca="1" si="2"/>
        <v>6</v>
      </c>
      <c r="C19" s="27">
        <f t="shared" ca="1" si="2"/>
        <v>6</v>
      </c>
      <c r="D19" s="27">
        <f t="shared" ca="1" si="2"/>
        <v>6</v>
      </c>
      <c r="E19" s="27">
        <f t="shared" ca="1" si="2"/>
        <v>6</v>
      </c>
      <c r="F19" s="27">
        <f t="shared" ca="1" si="2"/>
        <v>6</v>
      </c>
      <c r="G19" s="39"/>
      <c r="H19" s="27">
        <f t="shared" ref="H19" ca="1" si="6">H29+H39+H49+H59</f>
        <v>6</v>
      </c>
    </row>
    <row r="20" spans="1:8">
      <c r="A20" s="30" t="s">
        <v>50</v>
      </c>
      <c r="B20" s="27">
        <f t="shared" ca="1" si="2"/>
        <v>6</v>
      </c>
      <c r="C20" s="27">
        <f t="shared" ca="1" si="2"/>
        <v>6</v>
      </c>
      <c r="D20" s="27">
        <f t="shared" ca="1" si="2"/>
        <v>6</v>
      </c>
      <c r="E20" s="27">
        <f t="shared" ca="1" si="2"/>
        <v>6</v>
      </c>
      <c r="F20" s="27">
        <f t="shared" ca="1" si="2"/>
        <v>6</v>
      </c>
      <c r="G20" s="27">
        <f ca="1">G30+G40+G50+G60</f>
        <v>6</v>
      </c>
      <c r="H20" s="39"/>
    </row>
    <row r="23" spans="1:8" outlineLevel="1">
      <c r="A23" s="36" t="s">
        <v>56</v>
      </c>
      <c r="B23" s="32" t="s">
        <v>52</v>
      </c>
      <c r="C23" s="32" t="s">
        <v>44</v>
      </c>
      <c r="D23" s="32" t="s">
        <v>53</v>
      </c>
      <c r="E23" s="32" t="s">
        <v>47</v>
      </c>
      <c r="F23" s="32" t="s">
        <v>48</v>
      </c>
      <c r="G23" s="32" t="s">
        <v>49</v>
      </c>
      <c r="H23" s="32" t="s">
        <v>50</v>
      </c>
    </row>
    <row r="24" spans="1:8" outlineLevel="1">
      <c r="A24" s="30" t="s">
        <v>42</v>
      </c>
      <c r="B24" s="33"/>
      <c r="C24" s="27">
        <f ca="1">COUNTIF(INDIRECT($A$23&amp;"!$H:$H"),$A24&amp;C$23)+COUNTIF(INDIRECT($A$23&amp;"!$H:$H"),C$23&amp;$A24)</f>
        <v>2</v>
      </c>
      <c r="D24" s="27">
        <f t="shared" ref="D24:H28" ca="1" si="7">COUNTIF(INDIRECT($A$23&amp;"!$H:$H"),$A24&amp;D$23)+COUNTIF(INDIRECT($A$23&amp;"!$H:$H"),D$23&amp;$A24)</f>
        <v>2</v>
      </c>
      <c r="E24" s="27">
        <f t="shared" ca="1" si="7"/>
        <v>2</v>
      </c>
      <c r="F24" s="27">
        <f t="shared" ca="1" si="7"/>
        <v>2</v>
      </c>
      <c r="G24" s="27">
        <f t="shared" ca="1" si="7"/>
        <v>2</v>
      </c>
      <c r="H24" s="27">
        <f t="shared" ca="1" si="7"/>
        <v>2</v>
      </c>
    </row>
    <row r="25" spans="1:8" outlineLevel="1">
      <c r="A25" s="31" t="s">
        <v>44</v>
      </c>
      <c r="B25" s="27">
        <f ca="1">COUNTIF(INDIRECT($A$23&amp;"!$H:$H"),$A25&amp;B$23)+COUNTIF(INDIRECT($A$23&amp;"!$H:$H"),B$23&amp;$A25)</f>
        <v>2</v>
      </c>
      <c r="C25" s="33"/>
      <c r="D25" s="27">
        <f t="shared" ca="1" si="7"/>
        <v>2</v>
      </c>
      <c r="E25" s="27">
        <f t="shared" ca="1" si="7"/>
        <v>2</v>
      </c>
      <c r="F25" s="27">
        <f t="shared" ca="1" si="7"/>
        <v>2</v>
      </c>
      <c r="G25" s="27">
        <f t="shared" ca="1" si="7"/>
        <v>2</v>
      </c>
      <c r="H25" s="27">
        <f t="shared" ca="1" si="7"/>
        <v>2</v>
      </c>
    </row>
    <row r="26" spans="1:8" outlineLevel="1">
      <c r="A26" s="32" t="s">
        <v>46</v>
      </c>
      <c r="B26" s="27">
        <f t="shared" ref="B26:E30" ca="1" si="8">COUNTIF(INDIRECT($A$23&amp;"!$H:$H"),$A26&amp;B$23)+COUNTIF(INDIRECT($A$23&amp;"!$H:$H"),B$23&amp;$A26)</f>
        <v>2</v>
      </c>
      <c r="C26" s="27">
        <f ca="1">COUNTIF(INDIRECT($A$23&amp;"!$H:$H"),$A26&amp;C$23)+COUNTIF(INDIRECT($A$23&amp;"!$H:$H"),C$23&amp;$A26)</f>
        <v>2</v>
      </c>
      <c r="D26" s="33"/>
      <c r="E26" s="27">
        <f t="shared" ca="1" si="7"/>
        <v>2</v>
      </c>
      <c r="F26" s="27">
        <f t="shared" ca="1" si="7"/>
        <v>2</v>
      </c>
      <c r="G26" s="27">
        <f t="shared" ca="1" si="7"/>
        <v>2</v>
      </c>
      <c r="H26" s="27">
        <f t="shared" ca="1" si="7"/>
        <v>2</v>
      </c>
    </row>
    <row r="27" spans="1:8" outlineLevel="1">
      <c r="A27" s="30" t="s">
        <v>47</v>
      </c>
      <c r="B27" s="27">
        <f t="shared" ca="1" si="8"/>
        <v>2</v>
      </c>
      <c r="C27" s="27">
        <f t="shared" ca="1" si="8"/>
        <v>2</v>
      </c>
      <c r="D27" s="27">
        <f t="shared" ca="1" si="8"/>
        <v>2</v>
      </c>
      <c r="E27" s="33"/>
      <c r="F27" s="27">
        <f t="shared" ca="1" si="7"/>
        <v>2</v>
      </c>
      <c r="G27" s="27">
        <f t="shared" ca="1" si="7"/>
        <v>2</v>
      </c>
      <c r="H27" s="27">
        <f t="shared" ca="1" si="7"/>
        <v>2</v>
      </c>
    </row>
    <row r="28" spans="1:8" outlineLevel="1">
      <c r="A28" s="31" t="s">
        <v>48</v>
      </c>
      <c r="B28" s="27">
        <f t="shared" ca="1" si="8"/>
        <v>2</v>
      </c>
      <c r="C28" s="27">
        <f t="shared" ca="1" si="8"/>
        <v>2</v>
      </c>
      <c r="D28" s="27">
        <f t="shared" ca="1" si="8"/>
        <v>2</v>
      </c>
      <c r="E28" s="27">
        <f t="shared" ca="1" si="8"/>
        <v>2</v>
      </c>
      <c r="F28" s="33"/>
      <c r="G28" s="27">
        <f t="shared" ca="1" si="7"/>
        <v>2</v>
      </c>
      <c r="H28" s="27">
        <f t="shared" ca="1" si="7"/>
        <v>2</v>
      </c>
    </row>
    <row r="29" spans="1:8" outlineLevel="1">
      <c r="A29" s="30" t="s">
        <v>49</v>
      </c>
      <c r="B29" s="27">
        <f t="shared" ca="1" si="8"/>
        <v>2</v>
      </c>
      <c r="C29" s="27">
        <f t="shared" ca="1" si="8"/>
        <v>2</v>
      </c>
      <c r="D29" s="27">
        <f t="shared" ca="1" si="8"/>
        <v>2</v>
      </c>
      <c r="E29" s="27">
        <f t="shared" ca="1" si="8"/>
        <v>2</v>
      </c>
      <c r="F29" s="27">
        <f ca="1">COUNTIF(INDIRECT($A$23&amp;"!$H:$H"),$A29&amp;F$23)+COUNTIF(INDIRECT($A$23&amp;"!$H:$H"),F$23&amp;$A29)</f>
        <v>2</v>
      </c>
      <c r="G29" s="33"/>
      <c r="H29" s="27">
        <f ca="1">COUNTIF(INDIRECT($A$23&amp;"!$H:$H"),$A29&amp;H$23)+COUNTIF(INDIRECT($A$23&amp;"!$H:$H"),H$23&amp;$A29)</f>
        <v>2</v>
      </c>
    </row>
    <row r="30" spans="1:8" outlineLevel="1">
      <c r="A30" s="30" t="s">
        <v>50</v>
      </c>
      <c r="B30" s="27">
        <f t="shared" ca="1" si="8"/>
        <v>2</v>
      </c>
      <c r="C30" s="27">
        <f t="shared" ca="1" si="8"/>
        <v>2</v>
      </c>
      <c r="D30" s="27">
        <f t="shared" ca="1" si="8"/>
        <v>2</v>
      </c>
      <c r="E30" s="27">
        <f t="shared" ca="1" si="8"/>
        <v>2</v>
      </c>
      <c r="F30" s="27">
        <f t="shared" ref="F30:G30" ca="1" si="9">COUNTIF(INDIRECT($A$23&amp;"!$H:$H"),$A30&amp;F$23)+COUNTIF(INDIRECT($A$23&amp;"!$H:$H"),F$23&amp;$A30)</f>
        <v>2</v>
      </c>
      <c r="G30" s="27">
        <f t="shared" ca="1" si="9"/>
        <v>2</v>
      </c>
      <c r="H30" s="33"/>
    </row>
    <row r="31" spans="1:8" outlineLevel="1"/>
    <row r="32" spans="1:8" outlineLevel="1"/>
    <row r="33" spans="1:8" outlineLevel="1">
      <c r="A33" s="34" t="s">
        <v>55</v>
      </c>
      <c r="B33" s="32" t="s">
        <v>52</v>
      </c>
      <c r="C33" s="32" t="s">
        <v>44</v>
      </c>
      <c r="D33" s="32" t="s">
        <v>53</v>
      </c>
      <c r="E33" s="32" t="s">
        <v>47</v>
      </c>
      <c r="F33" s="32" t="s">
        <v>48</v>
      </c>
      <c r="G33" s="32" t="s">
        <v>49</v>
      </c>
      <c r="H33" s="32" t="s">
        <v>50</v>
      </c>
    </row>
    <row r="34" spans="1:8" outlineLevel="1">
      <c r="A34" s="30" t="s">
        <v>42</v>
      </c>
      <c r="B34" s="33"/>
      <c r="C34" s="27">
        <f ca="1">COUNTIF(INDIRECT($A$33&amp;"!$H:$H"),$A34&amp;C$23)+COUNTIF(INDIRECT($A$33&amp;"!$H:$H"),C$23&amp;$A34)</f>
        <v>2</v>
      </c>
      <c r="D34" s="27">
        <f t="shared" ref="D34:H39" ca="1" si="10">COUNTIF(INDIRECT($A$33&amp;"!$H:$H"),$A34&amp;D$23)+COUNTIF(INDIRECT($A$33&amp;"!$H:$H"),D$23&amp;$A34)</f>
        <v>2</v>
      </c>
      <c r="E34" s="27">
        <f t="shared" ca="1" si="10"/>
        <v>2</v>
      </c>
      <c r="F34" s="27">
        <f t="shared" ca="1" si="10"/>
        <v>2</v>
      </c>
      <c r="G34" s="27">
        <f t="shared" ca="1" si="10"/>
        <v>2</v>
      </c>
      <c r="H34" s="27">
        <f t="shared" ca="1" si="10"/>
        <v>2</v>
      </c>
    </row>
    <row r="35" spans="1:8" outlineLevel="1">
      <c r="A35" s="31" t="s">
        <v>44</v>
      </c>
      <c r="B35" s="27">
        <f ca="1">COUNTIF(INDIRECT($A$33&amp;"!$H:$H"),$A35&amp;B$23)+COUNTIF(INDIRECT($A$33&amp;"!$H:$H"),B$23&amp;$A35)</f>
        <v>2</v>
      </c>
      <c r="C35" s="33"/>
      <c r="D35" s="27">
        <f t="shared" ca="1" si="10"/>
        <v>2</v>
      </c>
      <c r="E35" s="27">
        <f t="shared" ca="1" si="10"/>
        <v>2</v>
      </c>
      <c r="F35" s="27">
        <f t="shared" ca="1" si="10"/>
        <v>2</v>
      </c>
      <c r="G35" s="27">
        <f t="shared" ca="1" si="10"/>
        <v>2</v>
      </c>
      <c r="H35" s="27">
        <f t="shared" ca="1" si="10"/>
        <v>2</v>
      </c>
    </row>
    <row r="36" spans="1:8" outlineLevel="1">
      <c r="A36" s="32" t="s">
        <v>46</v>
      </c>
      <c r="B36" s="27">
        <f t="shared" ref="B36:F40" ca="1" si="11">COUNTIF(INDIRECT($A$33&amp;"!$H:$H"),$A36&amp;B$23)+COUNTIF(INDIRECT($A$33&amp;"!$H:$H"),B$23&amp;$A36)</f>
        <v>2</v>
      </c>
      <c r="C36" s="27">
        <f t="shared" ca="1" si="11"/>
        <v>2</v>
      </c>
      <c r="D36" s="33"/>
      <c r="E36" s="27">
        <f t="shared" ca="1" si="10"/>
        <v>2</v>
      </c>
      <c r="F36" s="27">
        <f t="shared" ca="1" si="10"/>
        <v>2</v>
      </c>
      <c r="G36" s="27">
        <f t="shared" ca="1" si="10"/>
        <v>2</v>
      </c>
      <c r="H36" s="27">
        <f t="shared" ca="1" si="10"/>
        <v>2</v>
      </c>
    </row>
    <row r="37" spans="1:8" outlineLevel="1">
      <c r="A37" s="30" t="s">
        <v>47</v>
      </c>
      <c r="B37" s="27">
        <f t="shared" ca="1" si="11"/>
        <v>2</v>
      </c>
      <c r="C37" s="27">
        <f t="shared" ca="1" si="11"/>
        <v>2</v>
      </c>
      <c r="D37" s="27">
        <f t="shared" ca="1" si="11"/>
        <v>2</v>
      </c>
      <c r="E37" s="33"/>
      <c r="F37" s="27">
        <f t="shared" ca="1" si="10"/>
        <v>2</v>
      </c>
      <c r="G37" s="27">
        <f t="shared" ca="1" si="10"/>
        <v>2</v>
      </c>
      <c r="H37" s="27">
        <f t="shared" ca="1" si="10"/>
        <v>2</v>
      </c>
    </row>
    <row r="38" spans="1:8" outlineLevel="1">
      <c r="A38" s="31" t="s">
        <v>48</v>
      </c>
      <c r="B38" s="27">
        <f t="shared" ca="1" si="11"/>
        <v>2</v>
      </c>
      <c r="C38" s="27">
        <f t="shared" ca="1" si="11"/>
        <v>2</v>
      </c>
      <c r="D38" s="27">
        <f t="shared" ca="1" si="11"/>
        <v>2</v>
      </c>
      <c r="E38" s="27">
        <f t="shared" ca="1" si="11"/>
        <v>2</v>
      </c>
      <c r="F38" s="33"/>
      <c r="G38" s="27">
        <f t="shared" ca="1" si="10"/>
        <v>2</v>
      </c>
      <c r="H38" s="27">
        <f t="shared" ca="1" si="10"/>
        <v>2</v>
      </c>
    </row>
    <row r="39" spans="1:8" outlineLevel="1">
      <c r="A39" s="30" t="s">
        <v>49</v>
      </c>
      <c r="B39" s="27">
        <f t="shared" ca="1" si="11"/>
        <v>2</v>
      </c>
      <c r="C39" s="27">
        <f t="shared" ca="1" si="11"/>
        <v>2</v>
      </c>
      <c r="D39" s="27">
        <f t="shared" ca="1" si="11"/>
        <v>2</v>
      </c>
      <c r="E39" s="27">
        <f t="shared" ca="1" si="11"/>
        <v>2</v>
      </c>
      <c r="F39" s="27">
        <f t="shared" ca="1" si="11"/>
        <v>2</v>
      </c>
      <c r="G39" s="33"/>
      <c r="H39" s="27">
        <f t="shared" ca="1" si="10"/>
        <v>2</v>
      </c>
    </row>
    <row r="40" spans="1:8" outlineLevel="1">
      <c r="A40" s="30" t="s">
        <v>50</v>
      </c>
      <c r="B40" s="27">
        <f t="shared" ca="1" si="11"/>
        <v>2</v>
      </c>
      <c r="C40" s="27">
        <f t="shared" ca="1" si="11"/>
        <v>2</v>
      </c>
      <c r="D40" s="27">
        <f t="shared" ca="1" si="11"/>
        <v>2</v>
      </c>
      <c r="E40" s="27">
        <f t="shared" ca="1" si="11"/>
        <v>2</v>
      </c>
      <c r="F40" s="27">
        <f t="shared" ca="1" si="11"/>
        <v>2</v>
      </c>
      <c r="G40" s="27">
        <f ca="1">COUNTIF(INDIRECT($A$33&amp;"!$H:$H"),$A40&amp;G$23)+COUNTIF(INDIRECT($A$33&amp;"!$H:$H"),G$23&amp;$A40)</f>
        <v>2</v>
      </c>
      <c r="H40" s="33"/>
    </row>
    <row r="41" spans="1:8" outlineLevel="1"/>
    <row r="42" spans="1:8" outlineLevel="1"/>
    <row r="43" spans="1:8" outlineLevel="1">
      <c r="A43" s="34" t="s">
        <v>54</v>
      </c>
      <c r="B43" s="32" t="s">
        <v>52</v>
      </c>
      <c r="C43" s="32" t="s">
        <v>44</v>
      </c>
      <c r="D43" s="32" t="s">
        <v>53</v>
      </c>
      <c r="E43" s="32" t="s">
        <v>47</v>
      </c>
      <c r="F43" s="32" t="s">
        <v>48</v>
      </c>
      <c r="G43" s="32" t="s">
        <v>49</v>
      </c>
      <c r="H43" s="32" t="s">
        <v>50</v>
      </c>
    </row>
    <row r="44" spans="1:8" outlineLevel="1">
      <c r="A44" s="30" t="s">
        <v>42</v>
      </c>
      <c r="B44" s="33"/>
      <c r="C44" s="27">
        <f ca="1">COUNTIF(INDIRECT($A$43&amp;"!$H:$H"),$A44&amp;C$23)+COUNTIF(INDIRECT($A$43&amp;"!$H:$H"),C$23&amp;$A44)</f>
        <v>2</v>
      </c>
      <c r="D44" s="27">
        <f t="shared" ref="D44:H49" ca="1" si="12">COUNTIF(INDIRECT($A$43&amp;"!$H:$H"),$A44&amp;D$23)+COUNTIF(INDIRECT($A$43&amp;"!$H:$H"),D$23&amp;$A44)</f>
        <v>2</v>
      </c>
      <c r="E44" s="27">
        <f t="shared" ca="1" si="12"/>
        <v>2</v>
      </c>
      <c r="F44" s="27">
        <f t="shared" ca="1" si="12"/>
        <v>2</v>
      </c>
      <c r="G44" s="27">
        <f t="shared" ca="1" si="12"/>
        <v>2</v>
      </c>
      <c r="H44" s="27">
        <f t="shared" ca="1" si="12"/>
        <v>2</v>
      </c>
    </row>
    <row r="45" spans="1:8" outlineLevel="1">
      <c r="A45" s="31" t="s">
        <v>44</v>
      </c>
      <c r="B45" s="27">
        <f ca="1">COUNTIF(INDIRECT($A$43&amp;"!$H:$H"),$A45&amp;B$23)+COUNTIF(INDIRECT($A$43&amp;"!$H:$H"),B$23&amp;$A45)</f>
        <v>2</v>
      </c>
      <c r="C45" s="33"/>
      <c r="D45" s="27">
        <f t="shared" ca="1" si="12"/>
        <v>2</v>
      </c>
      <c r="E45" s="27">
        <f t="shared" ca="1" si="12"/>
        <v>2</v>
      </c>
      <c r="F45" s="27">
        <f t="shared" ca="1" si="12"/>
        <v>2</v>
      </c>
      <c r="G45" s="27">
        <f t="shared" ca="1" si="12"/>
        <v>2</v>
      </c>
      <c r="H45" s="27">
        <f t="shared" ca="1" si="12"/>
        <v>2</v>
      </c>
    </row>
    <row r="46" spans="1:8" outlineLevel="1">
      <c r="A46" s="32" t="s">
        <v>46</v>
      </c>
      <c r="B46" s="27">
        <f t="shared" ref="B46:F50" ca="1" si="13">COUNTIF(INDIRECT($A$43&amp;"!$H:$H"),$A46&amp;B$23)+COUNTIF(INDIRECT($A$43&amp;"!$H:$H"),B$23&amp;$A46)</f>
        <v>2</v>
      </c>
      <c r="C46" s="27">
        <f t="shared" ca="1" si="13"/>
        <v>2</v>
      </c>
      <c r="D46" s="33"/>
      <c r="E46" s="27">
        <f t="shared" ca="1" si="12"/>
        <v>2</v>
      </c>
      <c r="F46" s="27">
        <f t="shared" ca="1" si="12"/>
        <v>2</v>
      </c>
      <c r="G46" s="27">
        <f t="shared" ca="1" si="12"/>
        <v>2</v>
      </c>
      <c r="H46" s="27">
        <f t="shared" ca="1" si="12"/>
        <v>2</v>
      </c>
    </row>
    <row r="47" spans="1:8" outlineLevel="1">
      <c r="A47" s="30" t="s">
        <v>47</v>
      </c>
      <c r="B47" s="27">
        <f t="shared" ca="1" si="13"/>
        <v>2</v>
      </c>
      <c r="C47" s="27">
        <f t="shared" ca="1" si="13"/>
        <v>2</v>
      </c>
      <c r="D47" s="27">
        <f t="shared" ca="1" si="13"/>
        <v>2</v>
      </c>
      <c r="E47" s="33"/>
      <c r="F47" s="27">
        <f t="shared" ca="1" si="12"/>
        <v>2</v>
      </c>
      <c r="G47" s="27">
        <f t="shared" ca="1" si="12"/>
        <v>2</v>
      </c>
      <c r="H47" s="27">
        <f t="shared" ca="1" si="12"/>
        <v>2</v>
      </c>
    </row>
    <row r="48" spans="1:8" outlineLevel="1">
      <c r="A48" s="31" t="s">
        <v>48</v>
      </c>
      <c r="B48" s="27">
        <f t="shared" ca="1" si="13"/>
        <v>2</v>
      </c>
      <c r="C48" s="27">
        <f t="shared" ca="1" si="13"/>
        <v>2</v>
      </c>
      <c r="D48" s="27">
        <f t="shared" ca="1" si="13"/>
        <v>2</v>
      </c>
      <c r="E48" s="27">
        <f t="shared" ca="1" si="13"/>
        <v>2</v>
      </c>
      <c r="F48" s="33"/>
      <c r="G48" s="27">
        <f t="shared" ca="1" si="12"/>
        <v>2</v>
      </c>
      <c r="H48" s="27">
        <f t="shared" ca="1" si="12"/>
        <v>2</v>
      </c>
    </row>
    <row r="49" spans="1:8" outlineLevel="1">
      <c r="A49" s="30" t="s">
        <v>49</v>
      </c>
      <c r="B49" s="27">
        <f t="shared" ca="1" si="13"/>
        <v>2</v>
      </c>
      <c r="C49" s="27">
        <f t="shared" ca="1" si="13"/>
        <v>2</v>
      </c>
      <c r="D49" s="27">
        <f t="shared" ca="1" si="13"/>
        <v>2</v>
      </c>
      <c r="E49" s="27">
        <f t="shared" ca="1" si="13"/>
        <v>2</v>
      </c>
      <c r="F49" s="27">
        <f t="shared" ca="1" si="13"/>
        <v>2</v>
      </c>
      <c r="G49" s="33"/>
      <c r="H49" s="27">
        <f t="shared" ca="1" si="12"/>
        <v>2</v>
      </c>
    </row>
    <row r="50" spans="1:8" outlineLevel="1">
      <c r="A50" s="30" t="s">
        <v>50</v>
      </c>
      <c r="B50" s="27">
        <f t="shared" ca="1" si="13"/>
        <v>2</v>
      </c>
      <c r="C50" s="27">
        <f t="shared" ca="1" si="13"/>
        <v>2</v>
      </c>
      <c r="D50" s="27">
        <f t="shared" ca="1" si="13"/>
        <v>2</v>
      </c>
      <c r="E50" s="27">
        <f t="shared" ca="1" si="13"/>
        <v>2</v>
      </c>
      <c r="F50" s="27">
        <f t="shared" ca="1" si="13"/>
        <v>2</v>
      </c>
      <c r="G50" s="27">
        <f ca="1">COUNTIF(INDIRECT($A$43&amp;"!$H:$H"),$A50&amp;G$23)+COUNTIF(INDIRECT($A$43&amp;"!$H:$H"),G$23&amp;$A50)</f>
        <v>2</v>
      </c>
      <c r="H50" s="33"/>
    </row>
    <row r="51" spans="1:8" outlineLevel="1"/>
    <row r="52" spans="1:8" outlineLevel="1"/>
    <row r="53" spans="1:8" outlineLevel="1">
      <c r="A53" s="36" t="s">
        <v>51</v>
      </c>
      <c r="B53" s="32" t="s">
        <v>52</v>
      </c>
      <c r="C53" s="32" t="s">
        <v>44</v>
      </c>
      <c r="D53" s="32" t="s">
        <v>53</v>
      </c>
      <c r="E53" s="32" t="s">
        <v>47</v>
      </c>
      <c r="F53" s="32" t="s">
        <v>48</v>
      </c>
      <c r="G53" s="32" t="s">
        <v>49</v>
      </c>
      <c r="H53" s="32" t="s">
        <v>50</v>
      </c>
    </row>
    <row r="54" spans="1:8" outlineLevel="1">
      <c r="A54" s="30" t="s">
        <v>42</v>
      </c>
      <c r="B54" s="33"/>
      <c r="C54" s="27">
        <f ca="1">COUNTIF(INDIRECT($A$53&amp;"!$H:$H"),$A54&amp;C$23)+COUNTIF(INDIRECT($A$53&amp;"!$H:$H"),C$23&amp;$A54)</f>
        <v>0</v>
      </c>
      <c r="D54" s="27">
        <f t="shared" ref="D54:H59" ca="1" si="14">COUNTIF(INDIRECT($A$53&amp;"!$H:$H"),$A54&amp;D$23)+COUNTIF(INDIRECT($A$53&amp;"!$H:$H"),D$23&amp;$A54)</f>
        <v>0</v>
      </c>
      <c r="E54" s="27">
        <f t="shared" ca="1" si="14"/>
        <v>0</v>
      </c>
      <c r="F54" s="27">
        <f t="shared" ca="1" si="14"/>
        <v>0</v>
      </c>
      <c r="G54" s="27">
        <f t="shared" ca="1" si="14"/>
        <v>0</v>
      </c>
      <c r="H54" s="27">
        <f t="shared" ca="1" si="14"/>
        <v>0</v>
      </c>
    </row>
    <row r="55" spans="1:8" outlineLevel="1">
      <c r="A55" s="31" t="s">
        <v>44</v>
      </c>
      <c r="B55" s="27">
        <f ca="1">COUNTIF(INDIRECT($A$53&amp;"!$H:$H"),$A55&amp;B$23)+COUNTIF(INDIRECT($A$53&amp;"!$H:$H"),B$23&amp;$A55)</f>
        <v>0</v>
      </c>
      <c r="C55" s="33"/>
      <c r="D55" s="27">
        <f t="shared" ca="1" si="14"/>
        <v>0</v>
      </c>
      <c r="E55" s="27">
        <f t="shared" ca="1" si="14"/>
        <v>0</v>
      </c>
      <c r="F55" s="27">
        <f t="shared" ca="1" si="14"/>
        <v>0</v>
      </c>
      <c r="G55" s="27">
        <f t="shared" ca="1" si="14"/>
        <v>0</v>
      </c>
      <c r="H55" s="27">
        <f t="shared" ca="1" si="14"/>
        <v>0</v>
      </c>
    </row>
    <row r="56" spans="1:8" outlineLevel="1">
      <c r="A56" s="32" t="s">
        <v>46</v>
      </c>
      <c r="B56" s="27">
        <f t="shared" ref="B56:F60" ca="1" si="15">COUNTIF(INDIRECT($A$53&amp;"!$H:$H"),$A56&amp;B$23)+COUNTIF(INDIRECT($A$53&amp;"!$H:$H"),B$23&amp;$A56)</f>
        <v>0</v>
      </c>
      <c r="C56" s="27">
        <f t="shared" ca="1" si="15"/>
        <v>0</v>
      </c>
      <c r="D56" s="33"/>
      <c r="E56" s="27">
        <f t="shared" ca="1" si="14"/>
        <v>0</v>
      </c>
      <c r="F56" s="27">
        <f t="shared" ca="1" si="14"/>
        <v>0</v>
      </c>
      <c r="G56" s="27">
        <f t="shared" ca="1" si="14"/>
        <v>0</v>
      </c>
      <c r="H56" s="27">
        <f t="shared" ca="1" si="14"/>
        <v>0</v>
      </c>
    </row>
    <row r="57" spans="1:8" outlineLevel="1">
      <c r="A57" s="30" t="s">
        <v>47</v>
      </c>
      <c r="B57" s="27">
        <f t="shared" ca="1" si="15"/>
        <v>0</v>
      </c>
      <c r="C57" s="27">
        <f t="shared" ca="1" si="15"/>
        <v>0</v>
      </c>
      <c r="D57" s="27">
        <f t="shared" ca="1" si="15"/>
        <v>0</v>
      </c>
      <c r="E57" s="33"/>
      <c r="F57" s="27">
        <f t="shared" ca="1" si="14"/>
        <v>0</v>
      </c>
      <c r="G57" s="27">
        <f t="shared" ca="1" si="14"/>
        <v>0</v>
      </c>
      <c r="H57" s="27">
        <f t="shared" ca="1" si="14"/>
        <v>0</v>
      </c>
    </row>
    <row r="58" spans="1:8" outlineLevel="1">
      <c r="A58" s="31" t="s">
        <v>48</v>
      </c>
      <c r="B58" s="27">
        <f t="shared" ca="1" si="15"/>
        <v>0</v>
      </c>
      <c r="C58" s="27">
        <f t="shared" ca="1" si="15"/>
        <v>0</v>
      </c>
      <c r="D58" s="27">
        <f t="shared" ca="1" si="15"/>
        <v>0</v>
      </c>
      <c r="E58" s="27">
        <f t="shared" ca="1" si="15"/>
        <v>0</v>
      </c>
      <c r="F58" s="33"/>
      <c r="G58" s="27">
        <f t="shared" ca="1" si="14"/>
        <v>0</v>
      </c>
      <c r="H58" s="27">
        <f t="shared" ca="1" si="14"/>
        <v>0</v>
      </c>
    </row>
    <row r="59" spans="1:8" outlineLevel="1">
      <c r="A59" s="30" t="s">
        <v>49</v>
      </c>
      <c r="B59" s="27">
        <f t="shared" ca="1" si="15"/>
        <v>0</v>
      </c>
      <c r="C59" s="27">
        <f t="shared" ca="1" si="15"/>
        <v>0</v>
      </c>
      <c r="D59" s="27">
        <f t="shared" ca="1" si="15"/>
        <v>0</v>
      </c>
      <c r="E59" s="27">
        <f t="shared" ca="1" si="15"/>
        <v>0</v>
      </c>
      <c r="F59" s="27">
        <f t="shared" ca="1" si="15"/>
        <v>0</v>
      </c>
      <c r="G59" s="33"/>
      <c r="H59" s="27">
        <f t="shared" ca="1" si="14"/>
        <v>0</v>
      </c>
    </row>
    <row r="60" spans="1:8" outlineLevel="1">
      <c r="A60" s="30" t="s">
        <v>50</v>
      </c>
      <c r="B60" s="27">
        <f t="shared" ca="1" si="15"/>
        <v>0</v>
      </c>
      <c r="C60" s="27">
        <f t="shared" ca="1" si="15"/>
        <v>0</v>
      </c>
      <c r="D60" s="27">
        <f t="shared" ca="1" si="15"/>
        <v>0</v>
      </c>
      <c r="E60" s="27">
        <f t="shared" ca="1" si="15"/>
        <v>0</v>
      </c>
      <c r="F60" s="27">
        <f t="shared" ca="1" si="15"/>
        <v>0</v>
      </c>
      <c r="G60" s="27">
        <f ca="1">COUNTIF(INDIRECT($A$53&amp;"!$H:$H"),$A60&amp;G$23)+COUNTIF(INDIRECT($A$53&amp;"!$H:$H"),G$23&amp;$A60)</f>
        <v>0</v>
      </c>
      <c r="H60" s="33"/>
    </row>
  </sheetData>
  <phoneticPr fontId="1"/>
  <conditionalFormatting sqref="B14:H20">
    <cfRule type="colorScale" priority="1">
      <colorScale>
        <cfvo type="num" val="0"/>
        <cfvo type="num" val="6"/>
        <color theme="0"/>
        <color rgb="FFFF0000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M22"/>
  <sheetViews>
    <sheetView workbookViewId="0">
      <selection activeCell="J12" sqref="J12"/>
    </sheetView>
  </sheetViews>
  <sheetFormatPr defaultRowHeight="13.5"/>
  <cols>
    <col min="1" max="1" width="7.125" bestFit="1" customWidth="1"/>
    <col min="2" max="2" width="13" bestFit="1" customWidth="1"/>
    <col min="3" max="6" width="3.375" bestFit="1" customWidth="1"/>
    <col min="7" max="8" width="3.5" bestFit="1" customWidth="1"/>
    <col min="9" max="9" width="4.75" customWidth="1"/>
    <col min="10" max="10" width="5.25" bestFit="1" customWidth="1"/>
    <col min="11" max="11" width="6.125" style="23" customWidth="1"/>
    <col min="12" max="12" width="4.625" customWidth="1"/>
    <col min="13" max="13" width="7.125" bestFit="1" customWidth="1"/>
  </cols>
  <sheetData>
    <row r="1" spans="1:13">
      <c r="A1" s="17" t="s">
        <v>1</v>
      </c>
      <c r="B1" s="11" t="s">
        <v>0</v>
      </c>
      <c r="C1" s="11" t="s">
        <v>26</v>
      </c>
      <c r="D1" s="12" t="s">
        <v>19</v>
      </c>
      <c r="E1" s="11" t="s">
        <v>20</v>
      </c>
      <c r="F1" s="11" t="s">
        <v>21</v>
      </c>
      <c r="G1" s="11" t="s">
        <v>24</v>
      </c>
      <c r="H1" s="11" t="s">
        <v>22</v>
      </c>
      <c r="I1" s="11" t="s">
        <v>23</v>
      </c>
      <c r="J1" s="13" t="s">
        <v>25</v>
      </c>
      <c r="K1" s="24">
        <v>1</v>
      </c>
      <c r="L1" s="21" t="s">
        <v>61</v>
      </c>
      <c r="M1" s="22"/>
    </row>
    <row r="2" spans="1:13">
      <c r="A2" s="3">
        <v>1</v>
      </c>
      <c r="B2" s="2" t="s">
        <v>124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9">
        <v>0</v>
      </c>
      <c r="K2" s="23" t="str">
        <f t="shared" ref="K2:K7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/>
      </c>
      <c r="L2" s="22">
        <f>((COUNTA(A$2:A$15)-1)*2-C2)*3+J2</f>
        <v>36</v>
      </c>
      <c r="M2" s="22"/>
    </row>
    <row r="3" spans="1:13">
      <c r="A3" s="3">
        <v>2</v>
      </c>
      <c r="B3" s="2" t="s">
        <v>125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3" t="str">
        <f t="shared" si="0"/>
        <v/>
      </c>
      <c r="L3" s="22">
        <f t="shared" ref="L3:L8" si="1">((COUNTA(A$2:A$15)-1)*2-C3)*3+J3</f>
        <v>36</v>
      </c>
      <c r="M3" s="22"/>
    </row>
    <row r="4" spans="1:13">
      <c r="A4" s="3">
        <v>3</v>
      </c>
      <c r="B4" s="2" t="s">
        <v>126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3" t="str">
        <f t="shared" si="0"/>
        <v/>
      </c>
      <c r="L4" s="22">
        <f t="shared" si="1"/>
        <v>36</v>
      </c>
      <c r="M4" s="22"/>
    </row>
    <row r="5" spans="1:13">
      <c r="A5" s="3">
        <v>4</v>
      </c>
      <c r="B5" s="2" t="s">
        <v>127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3" t="str">
        <f t="shared" si="0"/>
        <v/>
      </c>
      <c r="L5" s="22">
        <f t="shared" si="1"/>
        <v>36</v>
      </c>
      <c r="M5" s="22"/>
    </row>
    <row r="6" spans="1:13">
      <c r="A6" s="3">
        <v>5</v>
      </c>
      <c r="B6" s="2" t="s">
        <v>128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3" t="str">
        <f t="shared" si="0"/>
        <v/>
      </c>
      <c r="L6" s="22">
        <f t="shared" si="1"/>
        <v>36</v>
      </c>
      <c r="M6" s="22"/>
    </row>
    <row r="7" spans="1:13">
      <c r="A7" s="3">
        <v>6</v>
      </c>
      <c r="B7" s="2" t="s">
        <v>129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3" t="str">
        <f t="shared" si="0"/>
        <v/>
      </c>
      <c r="L7" s="22">
        <f t="shared" si="1"/>
        <v>36</v>
      </c>
      <c r="M7" s="22"/>
    </row>
    <row r="8" spans="1:13">
      <c r="A8" s="3">
        <v>7</v>
      </c>
      <c r="B8" s="2" t="s">
        <v>108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10">
        <v>0</v>
      </c>
      <c r="K8" s="23" t="str">
        <f>IF(COUNTIF(L$2:L$15,"&lt;"&amp;$J8)=COUNTA(A$2:A$15)-1,"锁冠",
 IF(COUNTIF(L$2:L$15,"&lt;"&amp;$J8)=COUNTA(A$2:A$15)-2,"锁二",
 IF(COUNTIF(L$2:L$15,"&lt;"&amp;$J8)=COUNTA(A$2:A$15)-3,"锁三",IF(COUNTIF(J$2:J$15,"&gt;"&amp;$L8)&gt;=COUNTA(A$2:A$15)-$K$1,"降决",""))))</f>
        <v/>
      </c>
      <c r="L8" s="22">
        <f t="shared" si="1"/>
        <v>36</v>
      </c>
      <c r="M8" s="22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7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L22"/>
  <sheetViews>
    <sheetView workbookViewId="0">
      <selection activeCell="L12" sqref="L12"/>
    </sheetView>
  </sheetViews>
  <sheetFormatPr defaultRowHeight="13.5"/>
  <cols>
    <col min="1" max="1" width="7.125" bestFit="1" customWidth="1"/>
    <col min="2" max="2" width="14.75" customWidth="1"/>
    <col min="3" max="3" width="3.5" bestFit="1" customWidth="1"/>
    <col min="4" max="5" width="3.375" bestFit="1" customWidth="1"/>
    <col min="6" max="8" width="3.5" bestFit="1" customWidth="1"/>
    <col min="9" max="9" width="4.5" bestFit="1" customWidth="1"/>
    <col min="10" max="10" width="5.25" bestFit="1" customWidth="1"/>
    <col min="11" max="11" width="6.125" style="23" customWidth="1"/>
    <col min="12" max="12" width="7.125" bestFit="1" customWidth="1"/>
  </cols>
  <sheetData>
    <row r="1" spans="1:12">
      <c r="A1" s="14" t="s">
        <v>1</v>
      </c>
      <c r="B1" s="15" t="s">
        <v>0</v>
      </c>
      <c r="C1" s="15" t="s">
        <v>26</v>
      </c>
      <c r="D1" s="16" t="s">
        <v>19</v>
      </c>
      <c r="E1" s="15" t="s">
        <v>20</v>
      </c>
      <c r="F1" s="15" t="s">
        <v>21</v>
      </c>
      <c r="G1" s="15" t="s">
        <v>24</v>
      </c>
      <c r="H1" s="15" t="s">
        <v>22</v>
      </c>
      <c r="I1" s="15" t="s">
        <v>23</v>
      </c>
      <c r="J1" s="15" t="s">
        <v>25</v>
      </c>
      <c r="K1" s="24">
        <v>1</v>
      </c>
      <c r="L1" s="21" t="s">
        <v>61</v>
      </c>
    </row>
    <row r="2" spans="1:12">
      <c r="A2" s="3">
        <v>1</v>
      </c>
      <c r="B2" s="2" t="s">
        <v>117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9">
        <v>0</v>
      </c>
      <c r="K2" s="23" t="str">
        <f t="shared" ref="K2:K8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/>
      </c>
      <c r="L2" s="22">
        <f>((COUNTA(A$2:A$15)-1)*2-C2)*3+J2</f>
        <v>36</v>
      </c>
    </row>
    <row r="3" spans="1:12">
      <c r="A3" s="3">
        <v>2</v>
      </c>
      <c r="B3" s="2" t="s">
        <v>118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3" t="str">
        <f t="shared" si="0"/>
        <v/>
      </c>
      <c r="L3" s="22">
        <f t="shared" ref="L3:L8" si="1">((COUNTA(A$2:A$15)-1)*2-C3)*3+J3</f>
        <v>36</v>
      </c>
    </row>
    <row r="4" spans="1:12">
      <c r="A4" s="3">
        <v>3</v>
      </c>
      <c r="B4" s="2" t="s">
        <v>119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3" t="str">
        <f t="shared" si="0"/>
        <v/>
      </c>
      <c r="L4" s="22">
        <f t="shared" si="1"/>
        <v>36</v>
      </c>
    </row>
    <row r="5" spans="1:12">
      <c r="A5" s="3">
        <v>4</v>
      </c>
      <c r="B5" s="2" t="s">
        <v>120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3" t="str">
        <f t="shared" si="0"/>
        <v/>
      </c>
      <c r="L5" s="22">
        <f t="shared" si="1"/>
        <v>36</v>
      </c>
    </row>
    <row r="6" spans="1:12">
      <c r="A6" s="3">
        <v>5</v>
      </c>
      <c r="B6" s="2" t="s">
        <v>121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3" t="str">
        <f t="shared" si="0"/>
        <v/>
      </c>
      <c r="L6" s="22">
        <f t="shared" si="1"/>
        <v>36</v>
      </c>
    </row>
    <row r="7" spans="1:12">
      <c r="A7" s="3">
        <v>6</v>
      </c>
      <c r="B7" s="2" t="s">
        <v>122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3" t="str">
        <f t="shared" si="0"/>
        <v/>
      </c>
      <c r="L7" s="22">
        <f t="shared" si="1"/>
        <v>36</v>
      </c>
    </row>
    <row r="8" spans="1:12">
      <c r="A8" s="3">
        <v>7</v>
      </c>
      <c r="B8" s="2" t="s">
        <v>123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10">
        <v>0</v>
      </c>
      <c r="K8" s="23" t="str">
        <f t="shared" si="0"/>
        <v/>
      </c>
      <c r="L8" s="22">
        <f t="shared" si="1"/>
        <v>36</v>
      </c>
    </row>
    <row r="12" spans="1:12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7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L22"/>
  <sheetViews>
    <sheetView workbookViewId="0">
      <selection activeCell="H15" sqref="H15"/>
    </sheetView>
  </sheetViews>
  <sheetFormatPr defaultRowHeight="13.5"/>
  <cols>
    <col min="1" max="1" width="7.125" bestFit="1" customWidth="1"/>
    <col min="2" max="2" width="9" bestFit="1" customWidth="1"/>
    <col min="3" max="6" width="3.375" bestFit="1" customWidth="1"/>
    <col min="7" max="8" width="3.5" bestFit="1" customWidth="1"/>
    <col min="9" max="9" width="4.5" bestFit="1" customWidth="1"/>
    <col min="10" max="10" width="5.25" bestFit="1" customWidth="1"/>
    <col min="11" max="11" width="6.125" style="23" customWidth="1"/>
    <col min="12" max="12" width="7.125" bestFit="1" customWidth="1"/>
  </cols>
  <sheetData>
    <row r="1" spans="1:12">
      <c r="A1" s="17" t="s">
        <v>1</v>
      </c>
      <c r="B1" s="13" t="s">
        <v>0</v>
      </c>
      <c r="C1" s="19" t="s">
        <v>26</v>
      </c>
      <c r="D1" s="20" t="s">
        <v>19</v>
      </c>
      <c r="E1" s="19" t="s">
        <v>20</v>
      </c>
      <c r="F1" s="19" t="s">
        <v>21</v>
      </c>
      <c r="G1" s="19" t="s">
        <v>24</v>
      </c>
      <c r="H1" s="18" t="s">
        <v>22</v>
      </c>
      <c r="I1" s="18" t="s">
        <v>23</v>
      </c>
      <c r="J1" s="18" t="s">
        <v>25</v>
      </c>
      <c r="K1" s="24">
        <v>1</v>
      </c>
      <c r="L1" s="21" t="s">
        <v>61</v>
      </c>
    </row>
    <row r="2" spans="1:12">
      <c r="A2" s="3">
        <v>1</v>
      </c>
      <c r="B2" s="2" t="s">
        <v>111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9">
        <v>0</v>
      </c>
      <c r="K2" s="23" t="str">
        <f t="shared" ref="K2:K8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/>
      </c>
      <c r="L2" s="22">
        <f>((COUNTA(A$2:A$15)-1)*2-C2)*3+J2</f>
        <v>36</v>
      </c>
    </row>
    <row r="3" spans="1:12">
      <c r="A3" s="3">
        <v>2</v>
      </c>
      <c r="B3" s="2" t="s">
        <v>112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3" t="str">
        <f t="shared" si="0"/>
        <v/>
      </c>
      <c r="L3" s="22">
        <f t="shared" ref="L3:L8" si="1">((COUNTA(A$2:A$15)-1)*2-C3)*3+J3</f>
        <v>36</v>
      </c>
    </row>
    <row r="4" spans="1:12">
      <c r="A4" s="3">
        <v>3</v>
      </c>
      <c r="B4" s="2" t="s">
        <v>113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3" t="str">
        <f t="shared" si="0"/>
        <v/>
      </c>
      <c r="L4" s="22">
        <f t="shared" si="1"/>
        <v>36</v>
      </c>
    </row>
    <row r="5" spans="1:12">
      <c r="A5" s="3">
        <v>4</v>
      </c>
      <c r="B5" s="2" t="s">
        <v>110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3" t="str">
        <f t="shared" si="0"/>
        <v/>
      </c>
      <c r="L5" s="22">
        <f t="shared" si="1"/>
        <v>36</v>
      </c>
    </row>
    <row r="6" spans="1:12">
      <c r="A6" s="3">
        <v>5</v>
      </c>
      <c r="B6" s="2" t="s">
        <v>114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3" t="str">
        <f t="shared" si="0"/>
        <v/>
      </c>
      <c r="L6" s="22">
        <f t="shared" si="1"/>
        <v>36</v>
      </c>
    </row>
    <row r="7" spans="1:12">
      <c r="A7" s="3">
        <v>6</v>
      </c>
      <c r="B7" s="2" t="s">
        <v>115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3" t="str">
        <f t="shared" si="0"/>
        <v/>
      </c>
      <c r="L7" s="22">
        <f t="shared" si="1"/>
        <v>36</v>
      </c>
    </row>
    <row r="8" spans="1:12">
      <c r="A8" s="3">
        <v>7</v>
      </c>
      <c r="B8" s="2" t="s">
        <v>116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10">
        <v>0</v>
      </c>
      <c r="K8" s="23" t="str">
        <f t="shared" si="0"/>
        <v/>
      </c>
      <c r="L8" s="22">
        <f t="shared" si="1"/>
        <v>36</v>
      </c>
    </row>
    <row r="12" spans="1:12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7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8"/>
  <dimension ref="A1:L22"/>
  <sheetViews>
    <sheetView workbookViewId="0">
      <selection activeCell="H12" sqref="H12"/>
    </sheetView>
  </sheetViews>
  <sheetFormatPr defaultRowHeight="13.5"/>
  <cols>
    <col min="1" max="1" width="7.125" bestFit="1" customWidth="1"/>
    <col min="2" max="2" width="12.875" customWidth="1"/>
    <col min="3" max="6" width="3.375" bestFit="1" customWidth="1"/>
    <col min="7" max="8" width="3.5" bestFit="1" customWidth="1"/>
    <col min="9" max="9" width="4.5" bestFit="1" customWidth="1"/>
    <col min="10" max="10" width="5.25" bestFit="1" customWidth="1"/>
    <col min="11" max="11" width="6.125" style="23" customWidth="1"/>
    <col min="12" max="12" width="7.125" bestFit="1" customWidth="1"/>
  </cols>
  <sheetData>
    <row r="1" spans="1:12">
      <c r="A1" s="41" t="s">
        <v>1</v>
      </c>
      <c r="B1" s="42" t="s">
        <v>65</v>
      </c>
      <c r="C1" s="42" t="s">
        <v>66</v>
      </c>
      <c r="D1" s="42" t="s">
        <v>67</v>
      </c>
      <c r="E1" s="42" t="s">
        <v>20</v>
      </c>
      <c r="F1" s="42" t="s">
        <v>68</v>
      </c>
      <c r="G1" s="42" t="s">
        <v>69</v>
      </c>
      <c r="H1" s="42" t="s">
        <v>22</v>
      </c>
      <c r="I1" s="42" t="s">
        <v>70</v>
      </c>
      <c r="J1" s="42" t="s">
        <v>71</v>
      </c>
      <c r="K1" s="24">
        <v>1</v>
      </c>
      <c r="L1" s="21" t="s">
        <v>61</v>
      </c>
    </row>
    <row r="2" spans="1:12">
      <c r="A2" s="3">
        <v>1</v>
      </c>
      <c r="B2" s="2" t="s">
        <v>104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9">
        <v>0</v>
      </c>
      <c r="K2" s="23" t="str">
        <f t="shared" ref="K2:K8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/>
      </c>
      <c r="L2" s="22">
        <f>((COUNTA(A$2:A$15)-1)*2-C2)*3+J2</f>
        <v>36</v>
      </c>
    </row>
    <row r="3" spans="1:12">
      <c r="A3" s="3">
        <v>2</v>
      </c>
      <c r="B3" s="2" t="s">
        <v>105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3" t="str">
        <f t="shared" si="0"/>
        <v/>
      </c>
      <c r="L3" s="22">
        <f t="shared" ref="L3:L8" si="1">((COUNTA(A$2:A$15)-1)*2-C3)*3+J3</f>
        <v>36</v>
      </c>
    </row>
    <row r="4" spans="1:12">
      <c r="A4" s="3">
        <v>3</v>
      </c>
      <c r="B4" s="2" t="s">
        <v>106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3" t="str">
        <f t="shared" si="0"/>
        <v/>
      </c>
      <c r="L4" s="22">
        <f t="shared" si="1"/>
        <v>36</v>
      </c>
    </row>
    <row r="5" spans="1:12">
      <c r="A5" s="3">
        <v>4</v>
      </c>
      <c r="B5" s="2" t="s">
        <v>107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3" t="str">
        <f t="shared" si="0"/>
        <v/>
      </c>
      <c r="L5" s="22">
        <f t="shared" si="1"/>
        <v>36</v>
      </c>
    </row>
    <row r="6" spans="1:12">
      <c r="A6" s="3">
        <v>5</v>
      </c>
      <c r="B6" s="2" t="s">
        <v>108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3" t="str">
        <f t="shared" si="0"/>
        <v/>
      </c>
      <c r="L6" s="22">
        <f t="shared" si="1"/>
        <v>36</v>
      </c>
    </row>
    <row r="7" spans="1:12">
      <c r="A7" s="3">
        <v>6</v>
      </c>
      <c r="B7" s="2" t="s">
        <v>109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3" t="str">
        <f t="shared" si="0"/>
        <v/>
      </c>
      <c r="L7" s="22">
        <f t="shared" si="1"/>
        <v>36</v>
      </c>
    </row>
    <row r="8" spans="1:12">
      <c r="A8" s="3">
        <v>7</v>
      </c>
      <c r="B8" s="2" t="s">
        <v>110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10">
        <v>0</v>
      </c>
      <c r="K8" s="23" t="str">
        <f t="shared" si="0"/>
        <v/>
      </c>
      <c r="L8" s="22">
        <f t="shared" si="1"/>
        <v>36</v>
      </c>
    </row>
    <row r="12" spans="1:12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7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1:H93"/>
  <sheetViews>
    <sheetView workbookViewId="0">
      <selection activeCell="E13" sqref="E13"/>
    </sheetView>
  </sheetViews>
  <sheetFormatPr defaultRowHeight="13.5"/>
  <cols>
    <col min="1" max="2" width="15.125" bestFit="1" customWidth="1"/>
    <col min="3" max="4" width="2.5" bestFit="1" customWidth="1"/>
    <col min="6" max="6" width="3.625" style="35" customWidth="1"/>
    <col min="7" max="7" width="3.375" style="35" bestFit="1" customWidth="1"/>
    <col min="8" max="8" width="5.25" style="35" bestFit="1" customWidth="1"/>
  </cols>
  <sheetData>
    <row r="1" spans="1:8">
      <c r="A1" s="4" t="s">
        <v>9</v>
      </c>
      <c r="C1" s="5" t="s">
        <v>2</v>
      </c>
      <c r="D1" s="5"/>
      <c r="E1" s="37" t="s">
        <v>57</v>
      </c>
      <c r="F1" s="35" t="str">
        <f ca="1">IF(OR(OR($A1="",$B1=""),AND($C1&lt;&gt;"",$D1&lt;&gt;"")),"",VLOOKUP(A1,IF({1,0},INDIRECT("达修波得!$"&amp;$E$1&amp;"$2:$"&amp;$E$1&amp;"$8"),达修波得!$A$2:$A$8),2,FALSE))</f>
        <v/>
      </c>
      <c r="G1" s="35" t="str">
        <f ca="1">IF(OR(OR($A1="",$B1=""),AND($C1&lt;&gt;"",$D1&lt;&gt;"")),"",VLOOKUP(B1,IF({1,0},INDIRECT("达修波得!$"&amp;$E$1&amp;"$2:$"&amp;$E$1&amp;"$8"),达修波得!$A$2:$A$8),2,FALSE))</f>
        <v/>
      </c>
      <c r="H1" s="35" t="str">
        <f ca="1">F1&amp;G1</f>
        <v/>
      </c>
    </row>
    <row r="2" spans="1:8">
      <c r="A2" t="s">
        <v>28</v>
      </c>
      <c r="B2" t="s">
        <v>94</v>
      </c>
      <c r="F2" s="35" t="str">
        <f ca="1">IF(OR(OR($A2="",$B2=""),AND($C2&lt;&gt;"",$D2&lt;&gt;"")),"",VLOOKUP(A2,IF({1,0},INDIRECT("达修波得!$"&amp;$E$1&amp;"$2:$"&amp;$E$1&amp;"$8"),达修波得!$A$2:$A$8),2,FALSE))</f>
        <v>黑</v>
      </c>
      <c r="G2" s="35" t="str">
        <f ca="1">IF(OR(OR($A2="",$B2=""),AND($C2&lt;&gt;"",$D2&lt;&gt;"")),"",VLOOKUP(B2,IF({1,0},INDIRECT("达修波得!$"&amp;$E$1&amp;"$2:$"&amp;$E$1&amp;"$8"),达修波得!$A$2:$A$8),2,FALSE))</f>
        <v>爷</v>
      </c>
      <c r="H2" s="35" t="str">
        <f ca="1">F2&amp;G2</f>
        <v>黑爷</v>
      </c>
    </row>
    <row r="3" spans="1:8">
      <c r="A3" t="s">
        <v>92</v>
      </c>
      <c r="B3" t="s">
        <v>27</v>
      </c>
      <c r="F3" s="35" t="str">
        <f ca="1">IF(OR(OR($A3="",$B3=""),AND($C3&lt;&gt;"",$D3&lt;&gt;"")),"",VLOOKUP(A3,IF({1,0},INDIRECT("达修波得!$"&amp;$E$1&amp;"$2:$"&amp;$E$1&amp;"$8"),达修波得!$A$2:$A$8),2,FALSE))</f>
        <v>宇</v>
      </c>
      <c r="G3" s="35" t="str">
        <f ca="1">IF(OR(OR($A3="",$B3=""),AND($C3&lt;&gt;"",$D3&lt;&gt;"")),"",VLOOKUP(B3,IF({1,0},INDIRECT("达修波得!$"&amp;$E$1&amp;"$2:$"&amp;$E$1&amp;"$8"),达修波得!$A$2:$A$8),2,FALSE))</f>
        <v>举</v>
      </c>
      <c r="H3" s="35" t="str">
        <f t="shared" ref="H3:H66" ca="1" si="0">F3&amp;G3</f>
        <v>宇举</v>
      </c>
    </row>
    <row r="4" spans="1:8">
      <c r="B4" t="s">
        <v>29</v>
      </c>
      <c r="F4" s="35" t="str">
        <f ca="1">IF(OR(OR($A4="",$B4=""),AND($C4&lt;&gt;"",$D4&lt;&gt;"")),"",VLOOKUP(A4,IF({1,0},INDIRECT("达修波得!$"&amp;$E$1&amp;"$2:$"&amp;$E$1&amp;"$8"),达修波得!$A$2:$A$8),2,FALSE))</f>
        <v/>
      </c>
      <c r="G4" s="35" t="str">
        <f ca="1">IF(OR(OR($A4="",$B4=""),AND($C4&lt;&gt;"",$D4&lt;&gt;"")),"",VLOOKUP(B4,IF({1,0},INDIRECT("达修波得!$"&amp;$E$1&amp;"$2:$"&amp;$E$1&amp;"$8"),达修波得!$A$2:$A$8),2,FALSE))</f>
        <v/>
      </c>
      <c r="H4" s="35" t="str">
        <f t="shared" ca="1" si="0"/>
        <v/>
      </c>
    </row>
    <row r="5" spans="1:8">
      <c r="A5" t="s">
        <v>98</v>
      </c>
      <c r="B5" t="s">
        <v>13</v>
      </c>
      <c r="F5" s="35" t="str">
        <f ca="1">IF(OR(OR($A5="",$B5=""),AND($C5&lt;&gt;"",$D5&lt;&gt;"")),"",VLOOKUP(A5,IF({1,0},INDIRECT("达修波得!$"&amp;$E$1&amp;"$2:$"&amp;$E$1&amp;"$8"),达修波得!$A$2:$A$8),2,FALSE))</f>
        <v>贝</v>
      </c>
      <c r="G5" s="35" t="str">
        <f ca="1">IF(OR(OR($A5="",$B5=""),AND($C5&lt;&gt;"",$D5&lt;&gt;"")),"",VLOOKUP(B5,IF({1,0},INDIRECT("达修波得!$"&amp;$E$1&amp;"$2:$"&amp;$E$1&amp;"$8"),达修波得!$A$2:$A$8),2,FALSE))</f>
        <v>磊</v>
      </c>
      <c r="H5" s="35" t="str">
        <f t="shared" ca="1" si="0"/>
        <v>贝磊</v>
      </c>
    </row>
    <row r="6" spans="1:8">
      <c r="A6" s="4" t="s">
        <v>10</v>
      </c>
      <c r="F6" s="35" t="str">
        <f ca="1">IF(OR(OR($A6="",$B6=""),AND($C6&lt;&gt;"",$D6&lt;&gt;"")),"",VLOOKUP(A6,IF({1,0},INDIRECT("达修波得!$"&amp;$E$1&amp;"$2:$"&amp;$E$1&amp;"$8"),达修波得!$A$2:$A$8),2,FALSE))</f>
        <v/>
      </c>
      <c r="G6" s="35" t="str">
        <f ca="1">IF(OR(OR($A6="",$B6=""),AND($C6&lt;&gt;"",$D6&lt;&gt;"")),"",VLOOKUP(B6,IF({1,0},INDIRECT("达修波得!$"&amp;$E$1&amp;"$2:$"&amp;$E$1&amp;"$8"),达修波得!$A$2:$A$8),2,FALSE))</f>
        <v/>
      </c>
      <c r="H6" s="35" t="str">
        <f t="shared" ca="1" si="0"/>
        <v/>
      </c>
    </row>
    <row r="7" spans="1:8">
      <c r="A7" t="s">
        <v>28</v>
      </c>
      <c r="B7" t="s">
        <v>27</v>
      </c>
      <c r="F7" s="35" t="str">
        <f ca="1">IF(OR(OR($A7="",$B7=""),AND($C7&lt;&gt;"",$D7&lt;&gt;"")),"",VLOOKUP(A7,IF({1,0},INDIRECT("达修波得!$"&amp;$E$1&amp;"$2:$"&amp;$E$1&amp;"$8"),达修波得!$A$2:$A$8),2,FALSE))</f>
        <v>黑</v>
      </c>
      <c r="G7" s="35" t="str">
        <f ca="1">IF(OR(OR($A7="",$B7=""),AND($C7&lt;&gt;"",$D7&lt;&gt;"")),"",VLOOKUP(B7,IF({1,0},INDIRECT("达修波得!$"&amp;$E$1&amp;"$2:$"&amp;$E$1&amp;"$8"),达修波得!$A$2:$A$8),2,FALSE))</f>
        <v>举</v>
      </c>
      <c r="H7" s="35" t="str">
        <f t="shared" ca="1" si="0"/>
        <v>黑举</v>
      </c>
    </row>
    <row r="8" spans="1:8">
      <c r="A8" t="s">
        <v>94</v>
      </c>
      <c r="B8" t="s">
        <v>29</v>
      </c>
      <c r="F8" s="35" t="str">
        <f ca="1">IF(OR(OR($A8="",$B8=""),AND($C8&lt;&gt;"",$D8&lt;&gt;"")),"",VLOOKUP(A8,IF({1,0},INDIRECT("达修波得!$"&amp;$E$1&amp;"$2:$"&amp;$E$1&amp;"$8"),达修波得!$A$2:$A$8),2,FALSE))</f>
        <v>爷</v>
      </c>
      <c r="G8" s="35" t="str">
        <f ca="1">IF(OR(OR($A8="",$B8=""),AND($C8&lt;&gt;"",$D8&lt;&gt;"")),"",VLOOKUP(B8,IF({1,0},INDIRECT("达修波得!$"&amp;$E$1&amp;"$2:$"&amp;$E$1&amp;"$8"),达修波得!$A$2:$A$8),2,FALSE))</f>
        <v>二</v>
      </c>
      <c r="H8" s="35" t="str">
        <f t="shared" ca="1" si="0"/>
        <v>爷二</v>
      </c>
    </row>
    <row r="9" spans="1:8">
      <c r="A9" t="s">
        <v>92</v>
      </c>
      <c r="B9" t="s">
        <v>13</v>
      </c>
      <c r="F9" s="35" t="str">
        <f ca="1">IF(OR(OR($A9="",$B9=""),AND($C9&lt;&gt;"",$D9&lt;&gt;"")),"",VLOOKUP(A9,IF({1,0},INDIRECT("达修波得!$"&amp;$E$1&amp;"$2:$"&amp;$E$1&amp;"$8"),达修波得!$A$2:$A$8),2,FALSE))</f>
        <v>宇</v>
      </c>
      <c r="G9" s="35" t="str">
        <f ca="1">IF(OR(OR($A9="",$B9=""),AND($C9&lt;&gt;"",$D9&lt;&gt;"")),"",VLOOKUP(B9,IF({1,0},INDIRECT("达修波得!$"&amp;$E$1&amp;"$2:$"&amp;$E$1&amp;"$8"),达修波得!$A$2:$A$8),2,FALSE))</f>
        <v>磊</v>
      </c>
      <c r="H9" s="35" t="str">
        <f t="shared" ca="1" si="0"/>
        <v>宇磊</v>
      </c>
    </row>
    <row r="10" spans="1:8">
      <c r="B10" t="s">
        <v>98</v>
      </c>
      <c r="F10" s="35" t="str">
        <f ca="1">IF(OR(OR($A10="",$B10=""),AND($C10&lt;&gt;"",$D10&lt;&gt;"")),"",VLOOKUP(A10,IF({1,0},INDIRECT("达修波得!$"&amp;$E$1&amp;"$2:$"&amp;$E$1&amp;"$8"),达修波得!$A$2:$A$8),2,FALSE))</f>
        <v/>
      </c>
      <c r="G10" s="35" t="str">
        <f ca="1">IF(OR(OR($A10="",$B10=""),AND($C10&lt;&gt;"",$D10&lt;&gt;"")),"",VLOOKUP(B10,IF({1,0},INDIRECT("达修波得!$"&amp;$E$1&amp;"$2:$"&amp;$E$1&amp;"$8"),达修波得!$A$2:$A$8),2,FALSE))</f>
        <v/>
      </c>
      <c r="H10" s="35" t="str">
        <f t="shared" ca="1" si="0"/>
        <v/>
      </c>
    </row>
    <row r="11" spans="1:8">
      <c r="A11" s="4" t="s">
        <v>11</v>
      </c>
      <c r="F11" s="35" t="str">
        <f ca="1">IF(OR(OR($A11="",$B11=""),AND($C11&lt;&gt;"",$D11&lt;&gt;"")),"",VLOOKUP(A11,IF({1,0},INDIRECT("达修波得!$"&amp;$E$1&amp;"$2:$"&amp;$E$1&amp;"$8"),达修波得!$A$2:$A$8),2,FALSE))</f>
        <v/>
      </c>
      <c r="G11" s="35" t="str">
        <f ca="1">IF(OR(OR($A11="",$B11=""),AND($C11&lt;&gt;"",$D11&lt;&gt;"")),"",VLOOKUP(B11,IF({1,0},INDIRECT("达修波得!$"&amp;$E$1&amp;"$2:$"&amp;$E$1&amp;"$8"),达修波得!$A$2:$A$8),2,FALSE))</f>
        <v/>
      </c>
      <c r="H11" s="35" t="str">
        <f t="shared" ca="1" si="0"/>
        <v/>
      </c>
    </row>
    <row r="12" spans="1:8">
      <c r="A12" t="s">
        <v>28</v>
      </c>
      <c r="B12" t="s">
        <v>29</v>
      </c>
      <c r="F12" s="35" t="str">
        <f ca="1">IF(OR(OR($A12="",$B12=""),AND($C12&lt;&gt;"",$D12&lt;&gt;"")),"",VLOOKUP(A12,IF({1,0},INDIRECT("达修波得!$"&amp;$E$1&amp;"$2:$"&amp;$E$1&amp;"$8"),达修波得!$A$2:$A$8),2,FALSE))</f>
        <v>黑</v>
      </c>
      <c r="G12" s="35" t="str">
        <f ca="1">IF(OR(OR($A12="",$B12=""),AND($C12&lt;&gt;"",$D12&lt;&gt;"")),"",VLOOKUP(B12,IF({1,0},INDIRECT("达修波得!$"&amp;$E$1&amp;"$2:$"&amp;$E$1&amp;"$8"),达修波得!$A$2:$A$8),2,FALSE))</f>
        <v>二</v>
      </c>
      <c r="H12" s="35" t="str">
        <f t="shared" ca="1" si="0"/>
        <v>黑二</v>
      </c>
    </row>
    <row r="13" spans="1:8">
      <c r="A13" t="s">
        <v>27</v>
      </c>
      <c r="B13" t="s">
        <v>13</v>
      </c>
      <c r="F13" s="35" t="str">
        <f ca="1">IF(OR(OR($A13="",$B13=""),AND($C13&lt;&gt;"",$D13&lt;&gt;"")),"",VLOOKUP(A13,IF({1,0},INDIRECT("达修波得!$"&amp;$E$1&amp;"$2:$"&amp;$E$1&amp;"$8"),达修波得!$A$2:$A$8),2,FALSE))</f>
        <v>举</v>
      </c>
      <c r="G13" s="35" t="str">
        <f ca="1">IF(OR(OR($A13="",$B13=""),AND($C13&lt;&gt;"",$D13&lt;&gt;"")),"",VLOOKUP(B13,IF({1,0},INDIRECT("达修波得!$"&amp;$E$1&amp;"$2:$"&amp;$E$1&amp;"$8"),达修波得!$A$2:$A$8),2,FALSE))</f>
        <v>磊</v>
      </c>
      <c r="H13" s="35" t="str">
        <f t="shared" ca="1" si="0"/>
        <v>举磊</v>
      </c>
    </row>
    <row r="14" spans="1:8">
      <c r="A14" t="s">
        <v>94</v>
      </c>
      <c r="B14" t="s">
        <v>98</v>
      </c>
      <c r="F14" s="35" t="str">
        <f ca="1">IF(OR(OR($A14="",$B14=""),AND($C14&lt;&gt;"",$D14&lt;&gt;"")),"",VLOOKUP(A14,IF({1,0},INDIRECT("达修波得!$"&amp;$E$1&amp;"$2:$"&amp;$E$1&amp;"$8"),达修波得!$A$2:$A$8),2,FALSE))</f>
        <v>爷</v>
      </c>
      <c r="G14" s="35" t="str">
        <f ca="1">IF(OR(OR($A14="",$B14=""),AND($C14&lt;&gt;"",$D14&lt;&gt;"")),"",VLOOKUP(B14,IF({1,0},INDIRECT("达修波得!$"&amp;$E$1&amp;"$2:$"&amp;$E$1&amp;"$8"),达修波得!$A$2:$A$8),2,FALSE))</f>
        <v>贝</v>
      </c>
      <c r="H14" s="35" t="str">
        <f t="shared" ca="1" si="0"/>
        <v>爷贝</v>
      </c>
    </row>
    <row r="15" spans="1:8">
      <c r="A15" t="s">
        <v>92</v>
      </c>
      <c r="F15" s="35" t="str">
        <f ca="1">IF(OR(OR($A15="",$B15=""),AND($C15&lt;&gt;"",$D15&lt;&gt;"")),"",VLOOKUP(A15,IF({1,0},INDIRECT("达修波得!$"&amp;$E$1&amp;"$2:$"&amp;$E$1&amp;"$8"),达修波得!$A$2:$A$8),2,FALSE))</f>
        <v/>
      </c>
      <c r="G15" s="35" t="str">
        <f ca="1">IF(OR(OR($A15="",$B15=""),AND($C15&lt;&gt;"",$D15&lt;&gt;"")),"",VLOOKUP(B15,IF({1,0},INDIRECT("达修波得!$"&amp;$E$1&amp;"$2:$"&amp;$E$1&amp;"$8"),达修波得!$A$2:$A$8),2,FALSE))</f>
        <v/>
      </c>
      <c r="H15" s="35" t="str">
        <f t="shared" ca="1" si="0"/>
        <v/>
      </c>
    </row>
    <row r="16" spans="1:8">
      <c r="A16" s="4" t="s">
        <v>15</v>
      </c>
      <c r="F16" s="35" t="str">
        <f ca="1">IF(OR(OR($A16="",$B16=""),AND($C16&lt;&gt;"",$D16&lt;&gt;"")),"",VLOOKUP(A16,IF({1,0},INDIRECT("达修波得!$"&amp;$E$1&amp;"$2:$"&amp;$E$1&amp;"$8"),达修波得!$A$2:$A$8),2,FALSE))</f>
        <v/>
      </c>
      <c r="G16" s="35" t="str">
        <f ca="1">IF(OR(OR($A16="",$B16=""),AND($C16&lt;&gt;"",$D16&lt;&gt;"")),"",VLOOKUP(B16,IF({1,0},INDIRECT("达修波得!$"&amp;$E$1&amp;"$2:$"&amp;$E$1&amp;"$8"),达修波得!$A$2:$A$8),2,FALSE))</f>
        <v/>
      </c>
      <c r="H16" s="35" t="str">
        <f t="shared" ca="1" si="0"/>
        <v/>
      </c>
    </row>
    <row r="17" spans="1:8">
      <c r="A17" t="s">
        <v>28</v>
      </c>
      <c r="B17" t="s">
        <v>13</v>
      </c>
      <c r="F17" s="35" t="str">
        <f ca="1">IF(OR(OR($A17="",$B17=""),AND($C17&lt;&gt;"",$D17&lt;&gt;"")),"",VLOOKUP(A17,IF({1,0},INDIRECT("达修波得!$"&amp;$E$1&amp;"$2:$"&amp;$E$1&amp;"$8"),达修波得!$A$2:$A$8),2,FALSE))</f>
        <v>黑</v>
      </c>
      <c r="G17" s="35" t="str">
        <f ca="1">IF(OR(OR($A17="",$B17=""),AND($C17&lt;&gt;"",$D17&lt;&gt;"")),"",VLOOKUP(B17,IF({1,0},INDIRECT("达修波得!$"&amp;$E$1&amp;"$2:$"&amp;$E$1&amp;"$8"),达修波得!$A$2:$A$8),2,FALSE))</f>
        <v>磊</v>
      </c>
      <c r="H17" s="35" t="str">
        <f t="shared" ca="1" si="0"/>
        <v>黑磊</v>
      </c>
    </row>
    <row r="18" spans="1:8">
      <c r="A18" t="s">
        <v>29</v>
      </c>
      <c r="B18" t="s">
        <v>98</v>
      </c>
      <c r="F18" s="35" t="str">
        <f ca="1">IF(OR(OR($A18="",$B18=""),AND($C18&lt;&gt;"",$D18&lt;&gt;"")),"",VLOOKUP(A18,IF({1,0},INDIRECT("达修波得!$"&amp;$E$1&amp;"$2:$"&amp;$E$1&amp;"$8"),达修波得!$A$2:$A$8),2,FALSE))</f>
        <v>二</v>
      </c>
      <c r="G18" s="35" t="str">
        <f ca="1">IF(OR(OR($A18="",$B18=""),AND($C18&lt;&gt;"",$D18&lt;&gt;"")),"",VLOOKUP(B18,IF({1,0},INDIRECT("达修波得!$"&amp;$E$1&amp;"$2:$"&amp;$E$1&amp;"$8"),达修波得!$A$2:$A$8),2,FALSE))</f>
        <v>贝</v>
      </c>
      <c r="H18" s="35" t="str">
        <f t="shared" ca="1" si="0"/>
        <v>二贝</v>
      </c>
    </row>
    <row r="19" spans="1:8">
      <c r="A19" t="s">
        <v>27</v>
      </c>
      <c r="F19" s="35" t="str">
        <f ca="1">IF(OR(OR($A19="",$B19=""),AND($C19&lt;&gt;"",$D19&lt;&gt;"")),"",VLOOKUP(A19,IF({1,0},INDIRECT("达修波得!$"&amp;$E$1&amp;"$2:$"&amp;$E$1&amp;"$8"),达修波得!$A$2:$A$8),2,FALSE))</f>
        <v/>
      </c>
      <c r="G19" s="35" t="str">
        <f ca="1">IF(OR(OR($A19="",$B19=""),AND($C19&lt;&gt;"",$D19&lt;&gt;"")),"",VLOOKUP(B19,IF({1,0},INDIRECT("达修波得!$"&amp;$E$1&amp;"$2:$"&amp;$E$1&amp;"$8"),达修波得!$A$2:$A$8),2,FALSE))</f>
        <v/>
      </c>
      <c r="H19" s="35" t="str">
        <f t="shared" ca="1" si="0"/>
        <v/>
      </c>
    </row>
    <row r="20" spans="1:8">
      <c r="A20" t="s">
        <v>94</v>
      </c>
      <c r="B20" t="s">
        <v>92</v>
      </c>
      <c r="F20" s="35" t="str">
        <f ca="1">IF(OR(OR($A20="",$B20=""),AND($C20&lt;&gt;"",$D20&lt;&gt;"")),"",VLOOKUP(A20,IF({1,0},INDIRECT("达修波得!$"&amp;$E$1&amp;"$2:$"&amp;$E$1&amp;"$8"),达修波得!$A$2:$A$8),2,FALSE))</f>
        <v>爷</v>
      </c>
      <c r="G20" s="35" t="str">
        <f ca="1">IF(OR(OR($A20="",$B20=""),AND($C20&lt;&gt;"",$D20&lt;&gt;"")),"",VLOOKUP(B20,IF({1,0},INDIRECT("达修波得!$"&amp;$E$1&amp;"$2:$"&amp;$E$1&amp;"$8"),达修波得!$A$2:$A$8),2,FALSE))</f>
        <v>宇</v>
      </c>
      <c r="H20" s="35" t="str">
        <f t="shared" ca="1" si="0"/>
        <v>爷宇</v>
      </c>
    </row>
    <row r="21" spans="1:8">
      <c r="A21" s="4" t="s">
        <v>16</v>
      </c>
      <c r="F21" s="35" t="str">
        <f ca="1">IF(OR(OR($A21="",$B21=""),AND($C21&lt;&gt;"",$D21&lt;&gt;"")),"",VLOOKUP(A21,IF({1,0},INDIRECT("达修波得!$"&amp;$E$1&amp;"$2:$"&amp;$E$1&amp;"$8"),达修波得!$A$2:$A$8),2,FALSE))</f>
        <v/>
      </c>
      <c r="G21" s="35" t="str">
        <f ca="1">IF(OR(OR($A21="",$B21=""),AND($C21&lt;&gt;"",$D21&lt;&gt;"")),"",VLOOKUP(B21,IF({1,0},INDIRECT("达修波得!$"&amp;$E$1&amp;"$2:$"&amp;$E$1&amp;"$8"),达修波得!$A$2:$A$8),2,FALSE))</f>
        <v/>
      </c>
      <c r="H21" s="35" t="str">
        <f t="shared" ca="1" si="0"/>
        <v/>
      </c>
    </row>
    <row r="22" spans="1:8">
      <c r="A22" t="s">
        <v>28</v>
      </c>
      <c r="B22" t="s">
        <v>98</v>
      </c>
      <c r="F22" s="35" t="str">
        <f ca="1">IF(OR(OR($A22="",$B22=""),AND($C22&lt;&gt;"",$D22&lt;&gt;"")),"",VLOOKUP(A22,IF({1,0},INDIRECT("达修波得!$"&amp;$E$1&amp;"$2:$"&amp;$E$1&amp;"$8"),达修波得!$A$2:$A$8),2,FALSE))</f>
        <v>黑</v>
      </c>
      <c r="G22" s="35" t="str">
        <f ca="1">IF(OR(OR($A22="",$B22=""),AND($C22&lt;&gt;"",$D22&lt;&gt;"")),"",VLOOKUP(B22,IF({1,0},INDIRECT("达修波得!$"&amp;$E$1&amp;"$2:$"&amp;$E$1&amp;"$8"),达修波得!$A$2:$A$8),2,FALSE))</f>
        <v>贝</v>
      </c>
      <c r="H22" s="35" t="str">
        <f t="shared" ca="1" si="0"/>
        <v>黑贝</v>
      </c>
    </row>
    <row r="23" spans="1:8">
      <c r="A23" t="s">
        <v>13</v>
      </c>
      <c r="F23" s="35" t="str">
        <f ca="1">IF(OR(OR($A23="",$B23=""),AND($C23&lt;&gt;"",$D23&lt;&gt;"")),"",VLOOKUP(A23,IF({1,0},INDIRECT("达修波得!$"&amp;$E$1&amp;"$2:$"&amp;$E$1&amp;"$8"),达修波得!$A$2:$A$8),2,FALSE))</f>
        <v/>
      </c>
      <c r="G23" s="35" t="str">
        <f ca="1">IF(OR(OR($A23="",$B23=""),AND($C23&lt;&gt;"",$D23&lt;&gt;"")),"",VLOOKUP(B23,IF({1,0},INDIRECT("达修波得!$"&amp;$E$1&amp;"$2:$"&amp;$E$1&amp;"$8"),达修波得!$A$2:$A$8),2,FALSE))</f>
        <v/>
      </c>
      <c r="H23" s="35" t="str">
        <f t="shared" ca="1" si="0"/>
        <v/>
      </c>
    </row>
    <row r="24" spans="1:8">
      <c r="A24" t="s">
        <v>29</v>
      </c>
      <c r="B24" t="s">
        <v>92</v>
      </c>
      <c r="F24" s="35" t="str">
        <f ca="1">IF(OR(OR($A24="",$B24=""),AND($C24&lt;&gt;"",$D24&lt;&gt;"")),"",VLOOKUP(A24,IF({1,0},INDIRECT("达修波得!$"&amp;$E$1&amp;"$2:$"&amp;$E$1&amp;"$8"),达修波得!$A$2:$A$8),2,FALSE))</f>
        <v>二</v>
      </c>
      <c r="G24" s="35" t="str">
        <f ca="1">IF(OR(OR($A24="",$B24=""),AND($C24&lt;&gt;"",$D24&lt;&gt;"")),"",VLOOKUP(B24,IF({1,0},INDIRECT("达修波得!$"&amp;$E$1&amp;"$2:$"&amp;$E$1&amp;"$8"),达修波得!$A$2:$A$8),2,FALSE))</f>
        <v>宇</v>
      </c>
      <c r="H24" s="35" t="str">
        <f t="shared" ca="1" si="0"/>
        <v>二宇</v>
      </c>
    </row>
    <row r="25" spans="1:8">
      <c r="A25" t="s">
        <v>27</v>
      </c>
      <c r="B25" t="s">
        <v>94</v>
      </c>
      <c r="F25" s="35" t="str">
        <f ca="1">IF(OR(OR($A25="",$B25=""),AND($C25&lt;&gt;"",$D25&lt;&gt;"")),"",VLOOKUP(A25,IF({1,0},INDIRECT("达修波得!$"&amp;$E$1&amp;"$2:$"&amp;$E$1&amp;"$8"),达修波得!$A$2:$A$8),2,FALSE))</f>
        <v>举</v>
      </c>
      <c r="G25" s="35" t="str">
        <f ca="1">IF(OR(OR($A25="",$B25=""),AND($C25&lt;&gt;"",$D25&lt;&gt;"")),"",VLOOKUP(B25,IF({1,0},INDIRECT("达修波得!$"&amp;$E$1&amp;"$2:$"&amp;$E$1&amp;"$8"),达修波得!$A$2:$A$8),2,FALSE))</f>
        <v>爷</v>
      </c>
      <c r="H25" s="35" t="str">
        <f t="shared" ca="1" si="0"/>
        <v>举爷</v>
      </c>
    </row>
    <row r="26" spans="1:8">
      <c r="A26" s="4" t="s">
        <v>17</v>
      </c>
      <c r="F26" s="35" t="str">
        <f ca="1">IF(OR(OR($A26="",$B26=""),AND($C26&lt;&gt;"",$D26&lt;&gt;"")),"",VLOOKUP(A26,IF({1,0},INDIRECT("达修波得!$"&amp;$E$1&amp;"$2:$"&amp;$E$1&amp;"$8"),达修波得!$A$2:$A$8),2,FALSE))</f>
        <v/>
      </c>
      <c r="G26" s="35" t="str">
        <f ca="1">IF(OR(OR($A26="",$B26=""),AND($C26&lt;&gt;"",$D26&lt;&gt;"")),"",VLOOKUP(B26,IF({1,0},INDIRECT("达修波得!$"&amp;$E$1&amp;"$2:$"&amp;$E$1&amp;"$8"),达修波得!$A$2:$A$8),2,FALSE))</f>
        <v/>
      </c>
      <c r="H26" s="35" t="str">
        <f t="shared" ca="1" si="0"/>
        <v/>
      </c>
    </row>
    <row r="27" spans="1:8">
      <c r="A27" t="s">
        <v>28</v>
      </c>
      <c r="F27" s="35" t="str">
        <f ca="1">IF(OR(OR($A27="",$B27=""),AND($C27&lt;&gt;"",$D27&lt;&gt;"")),"",VLOOKUP(A27,IF({1,0},INDIRECT("达修波得!$"&amp;$E$1&amp;"$2:$"&amp;$E$1&amp;"$8"),达修波得!$A$2:$A$8),2,FALSE))</f>
        <v/>
      </c>
      <c r="G27" s="35" t="str">
        <f ca="1">IF(OR(OR($A27="",$B27=""),AND($C27&lt;&gt;"",$D27&lt;&gt;"")),"",VLOOKUP(B27,IF({1,0},INDIRECT("达修波得!$"&amp;$E$1&amp;"$2:$"&amp;$E$1&amp;"$8"),达修波得!$A$2:$A$8),2,FALSE))</f>
        <v/>
      </c>
      <c r="H27" s="35" t="str">
        <f t="shared" ca="1" si="0"/>
        <v/>
      </c>
    </row>
    <row r="28" spans="1:8">
      <c r="A28" t="s">
        <v>98</v>
      </c>
      <c r="B28" t="s">
        <v>92</v>
      </c>
      <c r="F28" s="35" t="str">
        <f ca="1">IF(OR(OR($A28="",$B28=""),AND($C28&lt;&gt;"",$D28&lt;&gt;"")),"",VLOOKUP(A28,IF({1,0},INDIRECT("达修波得!$"&amp;$E$1&amp;"$2:$"&amp;$E$1&amp;"$8"),达修波得!$A$2:$A$8),2,FALSE))</f>
        <v>贝</v>
      </c>
      <c r="G28" s="35" t="str">
        <f ca="1">IF(OR(OR($A28="",$B28=""),AND($C28&lt;&gt;"",$D28&lt;&gt;"")),"",VLOOKUP(B28,IF({1,0},INDIRECT("达修波得!$"&amp;$E$1&amp;"$2:$"&amp;$E$1&amp;"$8"),达修波得!$A$2:$A$8),2,FALSE))</f>
        <v>宇</v>
      </c>
      <c r="H28" s="35" t="str">
        <f t="shared" ca="1" si="0"/>
        <v>贝宇</v>
      </c>
    </row>
    <row r="29" spans="1:8">
      <c r="A29" t="s">
        <v>13</v>
      </c>
      <c r="B29" t="s">
        <v>94</v>
      </c>
      <c r="F29" s="35" t="str">
        <f ca="1">IF(OR(OR($A29="",$B29=""),AND($C29&lt;&gt;"",$D29&lt;&gt;"")),"",VLOOKUP(A29,IF({1,0},INDIRECT("达修波得!$"&amp;$E$1&amp;"$2:$"&amp;$E$1&amp;"$8"),达修波得!$A$2:$A$8),2,FALSE))</f>
        <v>磊</v>
      </c>
      <c r="G29" s="35" t="str">
        <f ca="1">IF(OR(OR($A29="",$B29=""),AND($C29&lt;&gt;"",$D29&lt;&gt;"")),"",VLOOKUP(B29,IF({1,0},INDIRECT("达修波得!$"&amp;$E$1&amp;"$2:$"&amp;$E$1&amp;"$8"),达修波得!$A$2:$A$8),2,FALSE))</f>
        <v>爷</v>
      </c>
      <c r="H29" s="35" t="str">
        <f t="shared" ca="1" si="0"/>
        <v>磊爷</v>
      </c>
    </row>
    <row r="30" spans="1:8">
      <c r="A30" t="s">
        <v>29</v>
      </c>
      <c r="B30" t="s">
        <v>27</v>
      </c>
      <c r="F30" s="35" t="str">
        <f ca="1">IF(OR(OR($A30="",$B30=""),AND($C30&lt;&gt;"",$D30&lt;&gt;"")),"",VLOOKUP(A30,IF({1,0},INDIRECT("达修波得!$"&amp;$E$1&amp;"$2:$"&amp;$E$1&amp;"$8"),达修波得!$A$2:$A$8),2,FALSE))</f>
        <v>二</v>
      </c>
      <c r="G30" s="35" t="str">
        <f ca="1">IF(OR(OR($A30="",$B30=""),AND($C30&lt;&gt;"",$D30&lt;&gt;"")),"",VLOOKUP(B30,IF({1,0},INDIRECT("达修波得!$"&amp;$E$1&amp;"$2:$"&amp;$E$1&amp;"$8"),达修波得!$A$2:$A$8),2,FALSE))</f>
        <v>举</v>
      </c>
      <c r="H30" s="35" t="str">
        <f t="shared" ca="1" si="0"/>
        <v>二举</v>
      </c>
    </row>
    <row r="31" spans="1:8">
      <c r="A31" s="4" t="s">
        <v>18</v>
      </c>
      <c r="F31" s="35" t="str">
        <f ca="1">IF(OR(OR($A31="",$B31=""),AND($C31&lt;&gt;"",$D31&lt;&gt;"")),"",VLOOKUP(A31,IF({1,0},INDIRECT("达修波得!$"&amp;$E$1&amp;"$2:$"&amp;$E$1&amp;"$8"),达修波得!$A$2:$A$8),2,FALSE))</f>
        <v/>
      </c>
      <c r="G31" s="35" t="str">
        <f ca="1">IF(OR(OR($A31="",$B31=""),AND($C31&lt;&gt;"",$D31&lt;&gt;"")),"",VLOOKUP(B31,IF({1,0},INDIRECT("达修波得!$"&amp;$E$1&amp;"$2:$"&amp;$E$1&amp;"$8"),达修波得!$A$2:$A$8),2,FALSE))</f>
        <v/>
      </c>
      <c r="H31" s="35" t="str">
        <f t="shared" ca="1" si="0"/>
        <v/>
      </c>
    </row>
    <row r="32" spans="1:8">
      <c r="A32" t="s">
        <v>28</v>
      </c>
      <c r="B32" t="s">
        <v>92</v>
      </c>
      <c r="F32" s="35" t="str">
        <f ca="1">IF(OR(OR($A32="",$B32=""),AND($C32&lt;&gt;"",$D32&lt;&gt;"")),"",VLOOKUP(A32,IF({1,0},INDIRECT("达修波得!$"&amp;$E$1&amp;"$2:$"&amp;$E$1&amp;"$8"),达修波得!$A$2:$A$8),2,FALSE))</f>
        <v>黑</v>
      </c>
      <c r="G32" s="35" t="str">
        <f ca="1">IF(OR(OR($A32="",$B32=""),AND($C32&lt;&gt;"",$D32&lt;&gt;"")),"",VLOOKUP(B32,IF({1,0},INDIRECT("达修波得!$"&amp;$E$1&amp;"$2:$"&amp;$E$1&amp;"$8"),达修波得!$A$2:$A$8),2,FALSE))</f>
        <v>宇</v>
      </c>
      <c r="H32" s="35" t="str">
        <f t="shared" ca="1" si="0"/>
        <v>黑宇</v>
      </c>
    </row>
    <row r="33" spans="1:8">
      <c r="B33" t="s">
        <v>94</v>
      </c>
      <c r="F33" s="35" t="str">
        <f ca="1">IF(OR(OR($A33="",$B33=""),AND($C33&lt;&gt;"",$D33&lt;&gt;"")),"",VLOOKUP(A33,IF({1,0},INDIRECT("达修波得!$"&amp;$E$1&amp;"$2:$"&amp;$E$1&amp;"$8"),达修波得!$A$2:$A$8),2,FALSE))</f>
        <v/>
      </c>
      <c r="G33" s="35" t="str">
        <f ca="1">IF(OR(OR($A33="",$B33=""),AND($C33&lt;&gt;"",$D33&lt;&gt;"")),"",VLOOKUP(B33,IF({1,0},INDIRECT("达修波得!$"&amp;$E$1&amp;"$2:$"&amp;$E$1&amp;"$8"),达修波得!$A$2:$A$8),2,FALSE))</f>
        <v/>
      </c>
      <c r="H33" s="35" t="str">
        <f t="shared" ca="1" si="0"/>
        <v/>
      </c>
    </row>
    <row r="34" spans="1:8">
      <c r="A34" t="s">
        <v>98</v>
      </c>
      <c r="B34" t="s">
        <v>27</v>
      </c>
      <c r="F34" s="35" t="str">
        <f ca="1">IF(OR(OR($A34="",$B34=""),AND($C34&lt;&gt;"",$D34&lt;&gt;"")),"",VLOOKUP(A34,IF({1,0},INDIRECT("达修波得!$"&amp;$E$1&amp;"$2:$"&amp;$E$1&amp;"$8"),达修波得!$A$2:$A$8),2,FALSE))</f>
        <v>贝</v>
      </c>
      <c r="G34" s="35" t="str">
        <f ca="1">IF(OR(OR($A34="",$B34=""),AND($C34&lt;&gt;"",$D34&lt;&gt;"")),"",VLOOKUP(B34,IF({1,0},INDIRECT("达修波得!$"&amp;$E$1&amp;"$2:$"&amp;$E$1&amp;"$8"),达修波得!$A$2:$A$8),2,FALSE))</f>
        <v>举</v>
      </c>
      <c r="H34" s="35" t="str">
        <f t="shared" ca="1" si="0"/>
        <v>贝举</v>
      </c>
    </row>
    <row r="35" spans="1:8">
      <c r="A35" t="s">
        <v>13</v>
      </c>
      <c r="B35" t="s">
        <v>29</v>
      </c>
      <c r="F35" s="35" t="str">
        <f ca="1">IF(OR(OR($A35="",$B35=""),AND($C35&lt;&gt;"",$D35&lt;&gt;"")),"",VLOOKUP(A35,IF({1,0},INDIRECT("达修波得!$"&amp;$E$1&amp;"$2:$"&amp;$E$1&amp;"$8"),达修波得!$A$2:$A$8),2,FALSE))</f>
        <v>磊</v>
      </c>
      <c r="G35" s="35" t="str">
        <f ca="1">IF(OR(OR($A35="",$B35=""),AND($C35&lt;&gt;"",$D35&lt;&gt;"")),"",VLOOKUP(B35,IF({1,0},INDIRECT("达修波得!$"&amp;$E$1&amp;"$2:$"&amp;$E$1&amp;"$8"),达修波得!$A$2:$A$8),2,FALSE))</f>
        <v>二</v>
      </c>
      <c r="H35" s="35" t="str">
        <f t="shared" ca="1" si="0"/>
        <v>磊二</v>
      </c>
    </row>
    <row r="36" spans="1:8">
      <c r="A36" s="4" t="s">
        <v>30</v>
      </c>
      <c r="F36" s="35" t="str">
        <f ca="1">IF(OR(OR($A36="",$B36=""),AND($C36&lt;&gt;"",$D36&lt;&gt;"")),"",VLOOKUP(A36,IF({1,0},INDIRECT("达修波得!$"&amp;$E$1&amp;"$2:$"&amp;$E$1&amp;"$8"),达修波得!$A$2:$A$8),2,FALSE))</f>
        <v/>
      </c>
      <c r="G36" s="35" t="str">
        <f ca="1">IF(OR(OR($A36="",$B36=""),AND($C36&lt;&gt;"",$D36&lt;&gt;"")),"",VLOOKUP(B36,IF({1,0},INDIRECT("达修波得!$"&amp;$E$1&amp;"$2:$"&amp;$E$1&amp;"$8"),达修波得!$A$2:$A$8),2,FALSE))</f>
        <v/>
      </c>
      <c r="H36" s="35" t="str">
        <f t="shared" ca="1" si="0"/>
        <v/>
      </c>
    </row>
    <row r="37" spans="1:8">
      <c r="A37" t="s">
        <v>94</v>
      </c>
      <c r="B37" t="s">
        <v>28</v>
      </c>
      <c r="F37" s="35" t="str">
        <f ca="1">IF(OR(OR($A37="",$B37=""),AND($C37&lt;&gt;"",$D37&lt;&gt;"")),"",VLOOKUP(A37,IF({1,0},INDIRECT("达修波得!$"&amp;$E$1&amp;"$2:$"&amp;$E$1&amp;"$8"),达修波得!$A$2:$A$8),2,FALSE))</f>
        <v>爷</v>
      </c>
      <c r="G37" s="35" t="str">
        <f ca="1">IF(OR(OR($A37="",$B37=""),AND($C37&lt;&gt;"",$D37&lt;&gt;"")),"",VLOOKUP(B37,IF({1,0},INDIRECT("达修波得!$"&amp;$E$1&amp;"$2:$"&amp;$E$1&amp;"$8"),达修波得!$A$2:$A$8),2,FALSE))</f>
        <v>黑</v>
      </c>
      <c r="H37" s="35" t="str">
        <f t="shared" ca="1" si="0"/>
        <v>爷黑</v>
      </c>
    </row>
    <row r="38" spans="1:8">
      <c r="A38" t="s">
        <v>27</v>
      </c>
      <c r="B38" t="s">
        <v>92</v>
      </c>
      <c r="F38" s="35" t="str">
        <f ca="1">IF(OR(OR($A38="",$B38=""),AND($C38&lt;&gt;"",$D38&lt;&gt;"")),"",VLOOKUP(A38,IF({1,0},INDIRECT("达修波得!$"&amp;$E$1&amp;"$2:$"&amp;$E$1&amp;"$8"),达修波得!$A$2:$A$8),2,FALSE))</f>
        <v>举</v>
      </c>
      <c r="G38" s="35" t="str">
        <f ca="1">IF(OR(OR($A38="",$B38=""),AND($C38&lt;&gt;"",$D38&lt;&gt;"")),"",VLOOKUP(B38,IF({1,0},INDIRECT("达修波得!$"&amp;$E$1&amp;"$2:$"&amp;$E$1&amp;"$8"),达修波得!$A$2:$A$8),2,FALSE))</f>
        <v>宇</v>
      </c>
      <c r="H38" s="35" t="str">
        <f t="shared" ca="1" si="0"/>
        <v>举宇</v>
      </c>
    </row>
    <row r="39" spans="1:8">
      <c r="A39" t="s">
        <v>29</v>
      </c>
      <c r="F39" s="35" t="str">
        <f ca="1">IF(OR(OR($A39="",$B39=""),AND($C39&lt;&gt;"",$D39&lt;&gt;"")),"",VLOOKUP(A39,IF({1,0},INDIRECT("达修波得!$"&amp;$E$1&amp;"$2:$"&amp;$E$1&amp;"$8"),达修波得!$A$2:$A$8),2,FALSE))</f>
        <v/>
      </c>
      <c r="G39" s="35" t="str">
        <f ca="1">IF(OR(OR($A39="",$B39=""),AND($C39&lt;&gt;"",$D39&lt;&gt;"")),"",VLOOKUP(B39,IF({1,0},INDIRECT("达修波得!$"&amp;$E$1&amp;"$2:$"&amp;$E$1&amp;"$8"),达修波得!$A$2:$A$8),2,FALSE))</f>
        <v/>
      </c>
      <c r="H39" s="35" t="str">
        <f t="shared" ca="1" si="0"/>
        <v/>
      </c>
    </row>
    <row r="40" spans="1:8">
      <c r="A40" t="s">
        <v>13</v>
      </c>
      <c r="B40" t="s">
        <v>98</v>
      </c>
      <c r="F40" s="35" t="str">
        <f ca="1">IF(OR(OR($A40="",$B40=""),AND($C40&lt;&gt;"",$D40&lt;&gt;"")),"",VLOOKUP(A40,IF({1,0},INDIRECT("达修波得!$"&amp;$E$1&amp;"$2:$"&amp;$E$1&amp;"$8"),达修波得!$A$2:$A$8),2,FALSE))</f>
        <v>磊</v>
      </c>
      <c r="G40" s="35" t="str">
        <f ca="1">IF(OR(OR($A40="",$B40=""),AND($C40&lt;&gt;"",$D40&lt;&gt;"")),"",VLOOKUP(B40,IF({1,0},INDIRECT("达修波得!$"&amp;$E$1&amp;"$2:$"&amp;$E$1&amp;"$8"),达修波得!$A$2:$A$8),2,FALSE))</f>
        <v>贝</v>
      </c>
      <c r="H40" s="35" t="str">
        <f t="shared" ca="1" si="0"/>
        <v>磊贝</v>
      </c>
    </row>
    <row r="41" spans="1:8">
      <c r="A41" s="4" t="s">
        <v>31</v>
      </c>
      <c r="F41" s="35" t="str">
        <f ca="1">IF(OR(OR($A41="",$B41=""),AND($C41&lt;&gt;"",$D41&lt;&gt;"")),"",VLOOKUP(A41,IF({1,0},INDIRECT("达修波得!$"&amp;$E$1&amp;"$2:$"&amp;$E$1&amp;"$8"),达修波得!$A$2:$A$8),2,FALSE))</f>
        <v/>
      </c>
      <c r="G41" s="35" t="str">
        <f ca="1">IF(OR(OR($A41="",$B41=""),AND($C41&lt;&gt;"",$D41&lt;&gt;"")),"",VLOOKUP(B41,IF({1,0},INDIRECT("达修波得!$"&amp;$E$1&amp;"$2:$"&amp;$E$1&amp;"$8"),达修波得!$A$2:$A$8),2,FALSE))</f>
        <v/>
      </c>
      <c r="H41" s="35" t="str">
        <f t="shared" ca="1" si="0"/>
        <v/>
      </c>
    </row>
    <row r="42" spans="1:8">
      <c r="A42" t="s">
        <v>27</v>
      </c>
      <c r="B42" t="s">
        <v>28</v>
      </c>
      <c r="F42" s="35" t="str">
        <f ca="1">IF(OR(OR($A42="",$B42=""),AND($C42&lt;&gt;"",$D42&lt;&gt;"")),"",VLOOKUP(A42,IF({1,0},INDIRECT("达修波得!$"&amp;$E$1&amp;"$2:$"&amp;$E$1&amp;"$8"),达修波得!$A$2:$A$8),2,FALSE))</f>
        <v>举</v>
      </c>
      <c r="G42" s="35" t="str">
        <f ca="1">IF(OR(OR($A42="",$B42=""),AND($C42&lt;&gt;"",$D42&lt;&gt;"")),"",VLOOKUP(B42,IF({1,0},INDIRECT("达修波得!$"&amp;$E$1&amp;"$2:$"&amp;$E$1&amp;"$8"),达修波得!$A$2:$A$8),2,FALSE))</f>
        <v>黑</v>
      </c>
      <c r="H42" s="35" t="str">
        <f t="shared" ca="1" si="0"/>
        <v>举黑</v>
      </c>
    </row>
    <row r="43" spans="1:8">
      <c r="A43" t="s">
        <v>29</v>
      </c>
      <c r="B43" t="s">
        <v>94</v>
      </c>
      <c r="F43" s="35" t="str">
        <f ca="1">IF(OR(OR($A43="",$B43=""),AND($C43&lt;&gt;"",$D43&lt;&gt;"")),"",VLOOKUP(A43,IF({1,0},INDIRECT("达修波得!$"&amp;$E$1&amp;"$2:$"&amp;$E$1&amp;"$8"),达修波得!$A$2:$A$8),2,FALSE))</f>
        <v>二</v>
      </c>
      <c r="G43" s="35" t="str">
        <f ca="1">IF(OR(OR($A43="",$B43=""),AND($C43&lt;&gt;"",$D43&lt;&gt;"")),"",VLOOKUP(B43,IF({1,0},INDIRECT("达修波得!$"&amp;$E$1&amp;"$2:$"&amp;$E$1&amp;"$8"),达修波得!$A$2:$A$8),2,FALSE))</f>
        <v>爷</v>
      </c>
      <c r="H43" s="35" t="str">
        <f t="shared" ca="1" si="0"/>
        <v>二爷</v>
      </c>
    </row>
    <row r="44" spans="1:8">
      <c r="A44" t="s">
        <v>13</v>
      </c>
      <c r="B44" t="s">
        <v>92</v>
      </c>
      <c r="F44" s="35" t="str">
        <f ca="1">IF(OR(OR($A44="",$B44=""),AND($C44&lt;&gt;"",$D44&lt;&gt;"")),"",VLOOKUP(A44,IF({1,0},INDIRECT("达修波得!$"&amp;$E$1&amp;"$2:$"&amp;$E$1&amp;"$8"),达修波得!$A$2:$A$8),2,FALSE))</f>
        <v>磊</v>
      </c>
      <c r="G44" s="35" t="str">
        <f ca="1">IF(OR(OR($A44="",$B44=""),AND($C44&lt;&gt;"",$D44&lt;&gt;"")),"",VLOOKUP(B44,IF({1,0},INDIRECT("达修波得!$"&amp;$E$1&amp;"$2:$"&amp;$E$1&amp;"$8"),达修波得!$A$2:$A$8),2,FALSE))</f>
        <v>宇</v>
      </c>
      <c r="H44" s="35" t="str">
        <f t="shared" ca="1" si="0"/>
        <v>磊宇</v>
      </c>
    </row>
    <row r="45" spans="1:8">
      <c r="A45" t="s">
        <v>98</v>
      </c>
      <c r="F45" s="35" t="str">
        <f ca="1">IF(OR(OR($A45="",$B45=""),AND($C45&lt;&gt;"",$D45&lt;&gt;"")),"",VLOOKUP(A45,IF({1,0},INDIRECT("达修波得!$"&amp;$E$1&amp;"$2:$"&amp;$E$1&amp;"$8"),达修波得!$A$2:$A$8),2,FALSE))</f>
        <v/>
      </c>
      <c r="G45" s="35" t="str">
        <f ca="1">IF(OR(OR($A45="",$B45=""),AND($C45&lt;&gt;"",$D45&lt;&gt;"")),"",VLOOKUP(B45,IF({1,0},INDIRECT("达修波得!$"&amp;$E$1&amp;"$2:$"&amp;$E$1&amp;"$8"),达修波得!$A$2:$A$8),2,FALSE))</f>
        <v/>
      </c>
      <c r="H45" s="35" t="str">
        <f t="shared" ca="1" si="0"/>
        <v/>
      </c>
    </row>
    <row r="46" spans="1:8">
      <c r="A46" s="4" t="s">
        <v>32</v>
      </c>
      <c r="F46" s="35" t="str">
        <f ca="1">IF(OR(OR($A46="",$B46=""),AND($C46&lt;&gt;"",$D46&lt;&gt;"")),"",VLOOKUP(A46,IF({1,0},INDIRECT("达修波得!$"&amp;$E$1&amp;"$2:$"&amp;$E$1&amp;"$8"),达修波得!$A$2:$A$8),2,FALSE))</f>
        <v/>
      </c>
      <c r="G46" s="35" t="str">
        <f ca="1">IF(OR(OR($A46="",$B46=""),AND($C46&lt;&gt;"",$D46&lt;&gt;"")),"",VLOOKUP(B46,IF({1,0},INDIRECT("达修波得!$"&amp;$E$1&amp;"$2:$"&amp;$E$1&amp;"$8"),达修波得!$A$2:$A$8),2,FALSE))</f>
        <v/>
      </c>
      <c r="H46" s="35" t="str">
        <f t="shared" ca="1" si="0"/>
        <v/>
      </c>
    </row>
    <row r="47" spans="1:8">
      <c r="A47" t="s">
        <v>29</v>
      </c>
      <c r="B47" t="s">
        <v>28</v>
      </c>
      <c r="F47" s="35" t="str">
        <f ca="1">IF(OR(OR($A47="",$B47=""),AND($C47&lt;&gt;"",$D47&lt;&gt;"")),"",VLOOKUP(A47,IF({1,0},INDIRECT("达修波得!$"&amp;$E$1&amp;"$2:$"&amp;$E$1&amp;"$8"),达修波得!$A$2:$A$8),2,FALSE))</f>
        <v>二</v>
      </c>
      <c r="G47" s="35" t="str">
        <f ca="1">IF(OR(OR($A47="",$B47=""),AND($C47&lt;&gt;"",$D47&lt;&gt;"")),"",VLOOKUP(B47,IF({1,0},INDIRECT("达修波得!$"&amp;$E$1&amp;"$2:$"&amp;$E$1&amp;"$8"),达修波得!$A$2:$A$8),2,FALSE))</f>
        <v>黑</v>
      </c>
      <c r="H47" s="35" t="str">
        <f t="shared" ca="1" si="0"/>
        <v>二黑</v>
      </c>
    </row>
    <row r="48" spans="1:8">
      <c r="A48" t="s">
        <v>13</v>
      </c>
      <c r="B48" t="s">
        <v>27</v>
      </c>
      <c r="F48" s="35" t="str">
        <f ca="1">IF(OR(OR($A48="",$B48=""),AND($C48&lt;&gt;"",$D48&lt;&gt;"")),"",VLOOKUP(A48,IF({1,0},INDIRECT("达修波得!$"&amp;$E$1&amp;"$2:$"&amp;$E$1&amp;"$8"),达修波得!$A$2:$A$8),2,FALSE))</f>
        <v>磊</v>
      </c>
      <c r="G48" s="35" t="str">
        <f ca="1">IF(OR(OR($A48="",$B48=""),AND($C48&lt;&gt;"",$D48&lt;&gt;"")),"",VLOOKUP(B48,IF({1,0},INDIRECT("达修波得!$"&amp;$E$1&amp;"$2:$"&amp;$E$1&amp;"$8"),达修波得!$A$2:$A$8),2,FALSE))</f>
        <v>举</v>
      </c>
      <c r="H48" s="35" t="str">
        <f t="shared" ca="1" si="0"/>
        <v>磊举</v>
      </c>
    </row>
    <row r="49" spans="1:8">
      <c r="A49" t="s">
        <v>98</v>
      </c>
      <c r="B49" t="s">
        <v>94</v>
      </c>
      <c r="F49" s="35" t="str">
        <f ca="1">IF(OR(OR($A49="",$B49=""),AND($C49&lt;&gt;"",$D49&lt;&gt;"")),"",VLOOKUP(A49,IF({1,0},INDIRECT("达修波得!$"&amp;$E$1&amp;"$2:$"&amp;$E$1&amp;"$8"),达修波得!$A$2:$A$8),2,FALSE))</f>
        <v>贝</v>
      </c>
      <c r="G49" s="35" t="str">
        <f ca="1">IF(OR(OR($A49="",$B49=""),AND($C49&lt;&gt;"",$D49&lt;&gt;"")),"",VLOOKUP(B49,IF({1,0},INDIRECT("达修波得!$"&amp;$E$1&amp;"$2:$"&amp;$E$1&amp;"$8"),达修波得!$A$2:$A$8),2,FALSE))</f>
        <v>爷</v>
      </c>
      <c r="H49" s="35" t="str">
        <f t="shared" ca="1" si="0"/>
        <v>贝爷</v>
      </c>
    </row>
    <row r="50" spans="1:8">
      <c r="B50" t="s">
        <v>92</v>
      </c>
      <c r="F50" s="35" t="str">
        <f ca="1">IF(OR(OR($A50="",$B50=""),AND($C50&lt;&gt;"",$D50&lt;&gt;"")),"",VLOOKUP(A50,IF({1,0},INDIRECT("达修波得!$"&amp;$E$1&amp;"$2:$"&amp;$E$1&amp;"$8"),达修波得!$A$2:$A$8),2,FALSE))</f>
        <v/>
      </c>
      <c r="G50" s="35" t="str">
        <f ca="1">IF(OR(OR($A50="",$B50=""),AND($C50&lt;&gt;"",$D50&lt;&gt;"")),"",VLOOKUP(B50,IF({1,0},INDIRECT("达修波得!$"&amp;$E$1&amp;"$2:$"&amp;$E$1&amp;"$8"),达修波得!$A$2:$A$8),2,FALSE))</f>
        <v/>
      </c>
      <c r="H50" s="35" t="str">
        <f t="shared" ca="1" si="0"/>
        <v/>
      </c>
    </row>
    <row r="51" spans="1:8">
      <c r="A51" s="4" t="s">
        <v>33</v>
      </c>
      <c r="F51" s="35" t="str">
        <f ca="1">IF(OR(OR($A51="",$B51=""),AND($C51&lt;&gt;"",$D51&lt;&gt;"")),"",VLOOKUP(A51,IF({1,0},INDIRECT("达修波得!$"&amp;$E$1&amp;"$2:$"&amp;$E$1&amp;"$8"),达修波得!$A$2:$A$8),2,FALSE))</f>
        <v/>
      </c>
      <c r="G51" s="35" t="str">
        <f ca="1">IF(OR(OR($A51="",$B51=""),AND($C51&lt;&gt;"",$D51&lt;&gt;"")),"",VLOOKUP(B51,IF({1,0},INDIRECT("达修波得!$"&amp;$E$1&amp;"$2:$"&amp;$E$1&amp;"$8"),达修波得!$A$2:$A$8),2,FALSE))</f>
        <v/>
      </c>
      <c r="H51" s="35" t="str">
        <f t="shared" ca="1" si="0"/>
        <v/>
      </c>
    </row>
    <row r="52" spans="1:8">
      <c r="A52" t="s">
        <v>13</v>
      </c>
      <c r="B52" t="s">
        <v>28</v>
      </c>
      <c r="F52" s="35" t="str">
        <f ca="1">IF(OR(OR($A52="",$B52=""),AND($C52&lt;&gt;"",$D52&lt;&gt;"")),"",VLOOKUP(A52,IF({1,0},INDIRECT("达修波得!$"&amp;$E$1&amp;"$2:$"&amp;$E$1&amp;"$8"),达修波得!$A$2:$A$8),2,FALSE))</f>
        <v>磊</v>
      </c>
      <c r="G52" s="35" t="str">
        <f ca="1">IF(OR(OR($A52="",$B52=""),AND($C52&lt;&gt;"",$D52&lt;&gt;"")),"",VLOOKUP(B52,IF({1,0},INDIRECT("达修波得!$"&amp;$E$1&amp;"$2:$"&amp;$E$1&amp;"$8"),达修波得!$A$2:$A$8),2,FALSE))</f>
        <v>黑</v>
      </c>
      <c r="H52" s="35" t="str">
        <f t="shared" ca="1" si="0"/>
        <v>磊黑</v>
      </c>
    </row>
    <row r="53" spans="1:8">
      <c r="A53" t="s">
        <v>98</v>
      </c>
      <c r="B53" t="s">
        <v>29</v>
      </c>
      <c r="F53" s="35" t="str">
        <f ca="1">IF(OR(OR($A53="",$B53=""),AND($C53&lt;&gt;"",$D53&lt;&gt;"")),"",VLOOKUP(A53,IF({1,0},INDIRECT("达修波得!$"&amp;$E$1&amp;"$2:$"&amp;$E$1&amp;"$8"),达修波得!$A$2:$A$8),2,FALSE))</f>
        <v>贝</v>
      </c>
      <c r="G53" s="35" t="str">
        <f ca="1">IF(OR(OR($A53="",$B53=""),AND($C53&lt;&gt;"",$D53&lt;&gt;"")),"",VLOOKUP(B53,IF({1,0},INDIRECT("达修波得!$"&amp;$E$1&amp;"$2:$"&amp;$E$1&amp;"$8"),达修波得!$A$2:$A$8),2,FALSE))</f>
        <v>二</v>
      </c>
      <c r="H53" s="35" t="str">
        <f t="shared" ca="1" si="0"/>
        <v>贝二</v>
      </c>
    </row>
    <row r="54" spans="1:8">
      <c r="B54" t="s">
        <v>27</v>
      </c>
      <c r="F54" s="35" t="str">
        <f ca="1">IF(OR(OR($A54="",$B54=""),AND($C54&lt;&gt;"",$D54&lt;&gt;"")),"",VLOOKUP(A54,IF({1,0},INDIRECT("达修波得!$"&amp;$E$1&amp;"$2:$"&amp;$E$1&amp;"$8"),达修波得!$A$2:$A$8),2,FALSE))</f>
        <v/>
      </c>
      <c r="G54" s="35" t="str">
        <f ca="1">IF(OR(OR($A54="",$B54=""),AND($C54&lt;&gt;"",$D54&lt;&gt;"")),"",VLOOKUP(B54,IF({1,0},INDIRECT("达修波得!$"&amp;$E$1&amp;"$2:$"&amp;$E$1&amp;"$8"),达修波得!$A$2:$A$8),2,FALSE))</f>
        <v/>
      </c>
      <c r="H54" s="35" t="str">
        <f t="shared" ca="1" si="0"/>
        <v/>
      </c>
    </row>
    <row r="55" spans="1:8">
      <c r="A55" t="s">
        <v>92</v>
      </c>
      <c r="B55" t="s">
        <v>94</v>
      </c>
      <c r="F55" s="35" t="str">
        <f ca="1">IF(OR(OR($A55="",$B55=""),AND($C55&lt;&gt;"",$D55&lt;&gt;"")),"",VLOOKUP(A55,IF({1,0},INDIRECT("达修波得!$"&amp;$E$1&amp;"$2:$"&amp;$E$1&amp;"$8"),达修波得!$A$2:$A$8),2,FALSE))</f>
        <v>宇</v>
      </c>
      <c r="G55" s="35" t="str">
        <f ca="1">IF(OR(OR($A55="",$B55=""),AND($C55&lt;&gt;"",$D55&lt;&gt;"")),"",VLOOKUP(B55,IF({1,0},INDIRECT("达修波得!$"&amp;$E$1&amp;"$2:$"&amp;$E$1&amp;"$8"),达修波得!$A$2:$A$8),2,FALSE))</f>
        <v>爷</v>
      </c>
      <c r="H55" s="35" t="str">
        <f t="shared" ca="1" si="0"/>
        <v>宇爷</v>
      </c>
    </row>
    <row r="56" spans="1:8">
      <c r="A56" s="4" t="s">
        <v>34</v>
      </c>
      <c r="F56" s="35" t="str">
        <f ca="1">IF(OR(OR($A56="",$B56=""),AND($C56&lt;&gt;"",$D56&lt;&gt;"")),"",VLOOKUP(A56,IF({1,0},INDIRECT("达修波得!$"&amp;$E$1&amp;"$2:$"&amp;$E$1&amp;"$8"),达修波得!$A$2:$A$8),2,FALSE))</f>
        <v/>
      </c>
      <c r="G56" s="35" t="str">
        <f ca="1">IF(OR(OR($A56="",$B56=""),AND($C56&lt;&gt;"",$D56&lt;&gt;"")),"",VLOOKUP(B56,IF({1,0},INDIRECT("达修波得!$"&amp;$E$1&amp;"$2:$"&amp;$E$1&amp;"$8"),达修波得!$A$2:$A$8),2,FALSE))</f>
        <v/>
      </c>
      <c r="H56" s="35" t="str">
        <f t="shared" ca="1" si="0"/>
        <v/>
      </c>
    </row>
    <row r="57" spans="1:8">
      <c r="A57" t="s">
        <v>98</v>
      </c>
      <c r="B57" t="s">
        <v>28</v>
      </c>
      <c r="F57" s="35" t="str">
        <f ca="1">IF(OR(OR($A57="",$B57=""),AND($C57&lt;&gt;"",$D57&lt;&gt;"")),"",VLOOKUP(A57,IF({1,0},INDIRECT("达修波得!$"&amp;$E$1&amp;"$2:$"&amp;$E$1&amp;"$8"),达修波得!$A$2:$A$8),2,FALSE))</f>
        <v>贝</v>
      </c>
      <c r="G57" s="35" t="str">
        <f ca="1">IF(OR(OR($A57="",$B57=""),AND($C57&lt;&gt;"",$D57&lt;&gt;"")),"",VLOOKUP(B57,IF({1,0},INDIRECT("达修波得!$"&amp;$E$1&amp;"$2:$"&amp;$E$1&amp;"$8"),达修波得!$A$2:$A$8),2,FALSE))</f>
        <v>黑</v>
      </c>
      <c r="H57" s="35" t="str">
        <f t="shared" ca="1" si="0"/>
        <v>贝黑</v>
      </c>
    </row>
    <row r="58" spans="1:8">
      <c r="B58" t="s">
        <v>13</v>
      </c>
      <c r="C58" s="43"/>
      <c r="D58" s="43"/>
      <c r="E58" s="43"/>
      <c r="F58" s="35" t="str">
        <f ca="1">IF(OR(OR($A58="",$B58=""),AND($C58&lt;&gt;"",$D58&lt;&gt;"")),"",VLOOKUP(A58,IF({1,0},INDIRECT("达修波得!$"&amp;$E$1&amp;"$2:$"&amp;$E$1&amp;"$8"),达修波得!$A$2:$A$8),2,FALSE))</f>
        <v/>
      </c>
      <c r="G58" s="35" t="str">
        <f ca="1">IF(OR(OR($A58="",$B58=""),AND($C58&lt;&gt;"",$D58&lt;&gt;"")),"",VLOOKUP(B58,IF({1,0},INDIRECT("达修波得!$"&amp;$E$1&amp;"$2:$"&amp;$E$1&amp;"$8"),达修波得!$A$2:$A$8),2,FALSE))</f>
        <v/>
      </c>
      <c r="H58" s="35" t="str">
        <f t="shared" ca="1" si="0"/>
        <v/>
      </c>
    </row>
    <row r="59" spans="1:8">
      <c r="A59" t="s">
        <v>92</v>
      </c>
      <c r="B59" t="s">
        <v>29</v>
      </c>
      <c r="C59" s="43"/>
      <c r="D59" s="43"/>
      <c r="E59" s="43"/>
      <c r="F59" s="35" t="str">
        <f ca="1">IF(OR(OR($A59="",$B59=""),AND($C59&lt;&gt;"",$D59&lt;&gt;"")),"",VLOOKUP(A59,IF({1,0},INDIRECT("达修波得!$"&amp;$E$1&amp;"$2:$"&amp;$E$1&amp;"$8"),达修波得!$A$2:$A$8),2,FALSE))</f>
        <v>宇</v>
      </c>
      <c r="G59" s="35" t="str">
        <f ca="1">IF(OR(OR($A59="",$B59=""),AND($C59&lt;&gt;"",$D59&lt;&gt;"")),"",VLOOKUP(B59,IF({1,0},INDIRECT("达修波得!$"&amp;$E$1&amp;"$2:$"&amp;$E$1&amp;"$8"),达修波得!$A$2:$A$8),2,FALSE))</f>
        <v>二</v>
      </c>
      <c r="H59" s="35" t="str">
        <f t="shared" ca="1" si="0"/>
        <v>宇二</v>
      </c>
    </row>
    <row r="60" spans="1:8">
      <c r="A60" t="s">
        <v>94</v>
      </c>
      <c r="B60" t="s">
        <v>27</v>
      </c>
      <c r="C60" s="43"/>
      <c r="D60" s="43"/>
      <c r="E60" s="43"/>
      <c r="F60" s="35" t="str">
        <f ca="1">IF(OR(OR($A60="",$B60=""),AND($C60&lt;&gt;"",$D60&lt;&gt;"")),"",VLOOKUP(A60,IF({1,0},INDIRECT("达修波得!$"&amp;$E$1&amp;"$2:$"&amp;$E$1&amp;"$8"),达修波得!$A$2:$A$8),2,FALSE))</f>
        <v>爷</v>
      </c>
      <c r="G60" s="35" t="str">
        <f ca="1">IF(OR(OR($A60="",$B60=""),AND($C60&lt;&gt;"",$D60&lt;&gt;"")),"",VLOOKUP(B60,IF({1,0},INDIRECT("达修波得!$"&amp;$E$1&amp;"$2:$"&amp;$E$1&amp;"$8"),达修波得!$A$2:$A$8),2,FALSE))</f>
        <v>举</v>
      </c>
      <c r="H60" s="35" t="str">
        <f t="shared" ca="1" si="0"/>
        <v>爷举</v>
      </c>
    </row>
    <row r="61" spans="1:8">
      <c r="A61" s="4" t="s">
        <v>35</v>
      </c>
      <c r="C61" s="43"/>
      <c r="D61" s="43"/>
      <c r="E61" s="43"/>
      <c r="F61" s="35" t="str">
        <f ca="1">IF(OR(OR($A61="",$B61=""),AND($C61&lt;&gt;"",$D61&lt;&gt;"")),"",VLOOKUP(A61,IF({1,0},INDIRECT("达修波得!$"&amp;$E$1&amp;"$2:$"&amp;$E$1&amp;"$8"),达修波得!$A$2:$A$8),2,FALSE))</f>
        <v/>
      </c>
      <c r="G61" s="35" t="str">
        <f ca="1">IF(OR(OR($A61="",$B61=""),AND($C61&lt;&gt;"",$D61&lt;&gt;"")),"",VLOOKUP(B61,IF({1,0},INDIRECT("达修波得!$"&amp;$E$1&amp;"$2:$"&amp;$E$1&amp;"$8"),达修波得!$A$2:$A$8),2,FALSE))</f>
        <v/>
      </c>
      <c r="H61" s="35" t="str">
        <f t="shared" ca="1" si="0"/>
        <v/>
      </c>
    </row>
    <row r="62" spans="1:8">
      <c r="B62" t="s">
        <v>28</v>
      </c>
      <c r="F62" s="35" t="str">
        <f ca="1">IF(OR(OR($A62="",$B62=""),AND($C62&lt;&gt;"",$D62&lt;&gt;"")),"",VLOOKUP(A62,IF({1,0},INDIRECT("达修波得!$"&amp;$E$1&amp;"$2:$"&amp;$E$1&amp;"$8"),达修波得!$A$2:$A$8),2,FALSE))</f>
        <v/>
      </c>
      <c r="G62" s="35" t="str">
        <f ca="1">IF(OR(OR($A62="",$B62=""),AND($C62&lt;&gt;"",$D62&lt;&gt;"")),"",VLOOKUP(B62,IF({1,0},INDIRECT("达修波得!$"&amp;$E$1&amp;"$2:$"&amp;$E$1&amp;"$8"),达修波得!$A$2:$A$8),2,FALSE))</f>
        <v/>
      </c>
      <c r="H62" s="35" t="str">
        <f t="shared" ca="1" si="0"/>
        <v/>
      </c>
    </row>
    <row r="63" spans="1:8">
      <c r="A63" t="s">
        <v>92</v>
      </c>
      <c r="B63" t="s">
        <v>98</v>
      </c>
      <c r="F63" s="35" t="str">
        <f ca="1">IF(OR(OR($A63="",$B63=""),AND($C63&lt;&gt;"",$D63&lt;&gt;"")),"",VLOOKUP(A63,IF({1,0},INDIRECT("达修波得!$"&amp;$E$1&amp;"$2:$"&amp;$E$1&amp;"$8"),达修波得!$A$2:$A$8),2,FALSE))</f>
        <v>宇</v>
      </c>
      <c r="G63" s="35" t="str">
        <f ca="1">IF(OR(OR($A63="",$B63=""),AND($C63&lt;&gt;"",$D63&lt;&gt;"")),"",VLOOKUP(B63,IF({1,0},INDIRECT("达修波得!$"&amp;$E$1&amp;"$2:$"&amp;$E$1&amp;"$8"),达修波得!$A$2:$A$8),2,FALSE))</f>
        <v>贝</v>
      </c>
      <c r="H63" s="35" t="str">
        <f t="shared" ca="1" si="0"/>
        <v>宇贝</v>
      </c>
    </row>
    <row r="64" spans="1:8">
      <c r="A64" t="s">
        <v>94</v>
      </c>
      <c r="B64" t="s">
        <v>13</v>
      </c>
      <c r="F64" s="35" t="str">
        <f ca="1">IF(OR(OR($A64="",$B64=""),AND($C64&lt;&gt;"",$D64&lt;&gt;"")),"",VLOOKUP(A64,IF({1,0},INDIRECT("达修波得!$"&amp;$E$1&amp;"$2:$"&amp;$E$1&amp;"$8"),达修波得!$A$2:$A$8),2,FALSE))</f>
        <v>爷</v>
      </c>
      <c r="G64" s="35" t="str">
        <f ca="1">IF(OR(OR($A64="",$B64=""),AND($C64&lt;&gt;"",$D64&lt;&gt;"")),"",VLOOKUP(B64,IF({1,0},INDIRECT("达修波得!$"&amp;$E$1&amp;"$2:$"&amp;$E$1&amp;"$8"),达修波得!$A$2:$A$8),2,FALSE))</f>
        <v>磊</v>
      </c>
      <c r="H64" s="35" t="str">
        <f t="shared" ca="1" si="0"/>
        <v>爷磊</v>
      </c>
    </row>
    <row r="65" spans="1:8">
      <c r="A65" t="s">
        <v>27</v>
      </c>
      <c r="B65" t="s">
        <v>29</v>
      </c>
      <c r="F65" s="35" t="str">
        <f ca="1">IF(OR(OR($A65="",$B65=""),AND($C65&lt;&gt;"",$D65&lt;&gt;"")),"",VLOOKUP(A65,IF({1,0},INDIRECT("达修波得!$"&amp;$E$1&amp;"$2:$"&amp;$E$1&amp;"$8"),达修波得!$A$2:$A$8),2,FALSE))</f>
        <v>举</v>
      </c>
      <c r="G65" s="35" t="str">
        <f ca="1">IF(OR(OR($A65="",$B65=""),AND($C65&lt;&gt;"",$D65&lt;&gt;"")),"",VLOOKUP(B65,IF({1,0},INDIRECT("达修波得!$"&amp;$E$1&amp;"$2:$"&amp;$E$1&amp;"$8"),达修波得!$A$2:$A$8),2,FALSE))</f>
        <v>二</v>
      </c>
      <c r="H65" s="35" t="str">
        <f t="shared" ca="1" si="0"/>
        <v>举二</v>
      </c>
    </row>
    <row r="66" spans="1:8">
      <c r="A66" s="4" t="s">
        <v>36</v>
      </c>
      <c r="F66" s="35" t="str">
        <f ca="1">IF(OR(OR($A66="",$B66=""),AND($C66&lt;&gt;"",$D66&lt;&gt;"")),"",VLOOKUP(A66,IF({1,0},INDIRECT("达修波得!$"&amp;$E$1&amp;"$2:$"&amp;$E$1&amp;"$8"),达修波得!$A$2:$A$8),2,FALSE))</f>
        <v/>
      </c>
      <c r="G66" s="35" t="str">
        <f ca="1">IF(OR(OR($A66="",$B66=""),AND($C66&lt;&gt;"",$D66&lt;&gt;"")),"",VLOOKUP(B66,IF({1,0},INDIRECT("达修波得!$"&amp;$E$1&amp;"$2:$"&amp;$E$1&amp;"$8"),达修波得!$A$2:$A$8),2,FALSE))</f>
        <v/>
      </c>
      <c r="H66" s="35" t="str">
        <f t="shared" ca="1" si="0"/>
        <v/>
      </c>
    </row>
    <row r="67" spans="1:8">
      <c r="A67" t="s">
        <v>92</v>
      </c>
      <c r="B67" t="s">
        <v>28</v>
      </c>
      <c r="F67" s="35" t="str">
        <f ca="1">IF(OR(OR($A67="",$B67=""),AND($C67&lt;&gt;"",$D67&lt;&gt;"")),"",VLOOKUP(A67,IF({1,0},INDIRECT("达修波得!$"&amp;$E$1&amp;"$2:$"&amp;$E$1&amp;"$8"),达修波得!$A$2:$A$8),2,FALSE))</f>
        <v>宇</v>
      </c>
      <c r="G67" s="35" t="str">
        <f ca="1">IF(OR(OR($A67="",$B67=""),AND($C67&lt;&gt;"",$D67&lt;&gt;"")),"",VLOOKUP(B67,IF({1,0},INDIRECT("达修波得!$"&amp;$E$1&amp;"$2:$"&amp;$E$1&amp;"$8"),达修波得!$A$2:$A$8),2,FALSE))</f>
        <v>黑</v>
      </c>
      <c r="H67" s="35" t="str">
        <f t="shared" ref="H67:H93" ca="1" si="1">F67&amp;G67</f>
        <v>宇黑</v>
      </c>
    </row>
    <row r="68" spans="1:8">
      <c r="A68" t="s">
        <v>94</v>
      </c>
      <c r="F68" s="35" t="str">
        <f ca="1">IF(OR(OR($A68="",$B68=""),AND($C68&lt;&gt;"",$D68&lt;&gt;"")),"",VLOOKUP(A68,IF({1,0},INDIRECT("达修波得!$"&amp;$E$1&amp;"$2:$"&amp;$E$1&amp;"$8"),达修波得!$A$2:$A$8),2,FALSE))</f>
        <v/>
      </c>
      <c r="G68" s="35" t="str">
        <f ca="1">IF(OR(OR($A68="",$B68=""),AND($C68&lt;&gt;"",$D68&lt;&gt;"")),"",VLOOKUP(B68,IF({1,0},INDIRECT("达修波得!$"&amp;$E$1&amp;"$2:$"&amp;$E$1&amp;"$8"),达修波得!$A$2:$A$8),2,FALSE))</f>
        <v/>
      </c>
      <c r="H68" s="35" t="str">
        <f t="shared" ca="1" si="1"/>
        <v/>
      </c>
    </row>
    <row r="69" spans="1:8">
      <c r="A69" t="s">
        <v>27</v>
      </c>
      <c r="B69" t="s">
        <v>98</v>
      </c>
      <c r="F69" s="35" t="str">
        <f ca="1">IF(OR(OR($A69="",$B69=""),AND($C69&lt;&gt;"",$D69&lt;&gt;"")),"",VLOOKUP(A69,IF({1,0},INDIRECT("达修波得!$"&amp;$E$1&amp;"$2:$"&amp;$E$1&amp;"$8"),达修波得!$A$2:$A$8),2,FALSE))</f>
        <v>举</v>
      </c>
      <c r="G69" s="35" t="str">
        <f ca="1">IF(OR(OR($A69="",$B69=""),AND($C69&lt;&gt;"",$D69&lt;&gt;"")),"",VLOOKUP(B69,IF({1,0},INDIRECT("达修波得!$"&amp;$E$1&amp;"$2:$"&amp;$E$1&amp;"$8"),达修波得!$A$2:$A$8),2,FALSE))</f>
        <v>贝</v>
      </c>
      <c r="H69" s="35" t="str">
        <f t="shared" ca="1" si="1"/>
        <v>举贝</v>
      </c>
    </row>
    <row r="70" spans="1:8">
      <c r="A70" t="s">
        <v>29</v>
      </c>
      <c r="B70" t="s">
        <v>13</v>
      </c>
      <c r="F70" s="35" t="str">
        <f ca="1">IF(OR(OR($A70="",$B70=""),AND($C70&lt;&gt;"",$D70&lt;&gt;"")),"",VLOOKUP(A70,IF({1,0},INDIRECT("达修波得!$"&amp;$E$1&amp;"$2:$"&amp;$E$1&amp;"$8"),达修波得!$A$2:$A$8),2,FALSE))</f>
        <v>二</v>
      </c>
      <c r="G70" s="35" t="str">
        <f ca="1">IF(OR(OR($A70="",$B70=""),AND($C70&lt;&gt;"",$D70&lt;&gt;"")),"",VLOOKUP(B70,IF({1,0},INDIRECT("达修波得!$"&amp;$E$1&amp;"$2:$"&amp;$E$1&amp;"$8"),达修波得!$A$2:$A$8),2,FALSE))</f>
        <v>磊</v>
      </c>
      <c r="H70" s="35" t="str">
        <f t="shared" ca="1" si="1"/>
        <v>二磊</v>
      </c>
    </row>
    <row r="71" spans="1:8">
      <c r="F71" s="35" t="str">
        <f ca="1">IF(OR(OR($A71="",$B71=""),AND($C71&lt;&gt;"",$D71&lt;&gt;"")),"",VLOOKUP(A71,IF({1,0},INDIRECT("达修波得!$"&amp;$E$1&amp;"$2:$"&amp;$E$1&amp;"$8"),达修波得!$A$2:$A$8),2,FALSE))</f>
        <v/>
      </c>
      <c r="G71" s="35" t="str">
        <f ca="1">IF(OR(OR($A71="",$B71=""),AND($C71&lt;&gt;"",$D71&lt;&gt;"")),"",VLOOKUP(B71,IF({1,0},INDIRECT("达修波得!$"&amp;$E$1&amp;"$2:$"&amp;$E$1&amp;"$8"),达修波得!$A$2:$A$8),2,FALSE))</f>
        <v/>
      </c>
      <c r="H71" s="35" t="str">
        <f t="shared" ca="1" si="1"/>
        <v/>
      </c>
    </row>
    <row r="72" spans="1:8">
      <c r="F72" s="35" t="str">
        <f ca="1">IF(OR(OR($A72="",$B72=""),AND($C72&lt;&gt;"",$D72&lt;&gt;"")),"",VLOOKUP(A72,IF({1,0},INDIRECT("达修波得!$"&amp;$E$1&amp;"$2:$"&amp;$E$1&amp;"$8"),达修波得!$A$2:$A$8),2,FALSE))</f>
        <v/>
      </c>
      <c r="G72" s="35" t="str">
        <f ca="1">IF(OR(OR($A72="",$B72=""),AND($C72&lt;&gt;"",$D72&lt;&gt;"")),"",VLOOKUP(B72,IF({1,0},INDIRECT("达修波得!$"&amp;$E$1&amp;"$2:$"&amp;$E$1&amp;"$8"),达修波得!$A$2:$A$8),2,FALSE))</f>
        <v/>
      </c>
      <c r="H72" s="35" t="str">
        <f t="shared" ca="1" si="1"/>
        <v/>
      </c>
    </row>
    <row r="73" spans="1:8">
      <c r="H73" s="35" t="str">
        <f t="shared" si="1"/>
        <v/>
      </c>
    </row>
    <row r="74" spans="1:8">
      <c r="H74" s="35" t="str">
        <f t="shared" si="1"/>
        <v/>
      </c>
    </row>
    <row r="75" spans="1:8">
      <c r="H75" s="35" t="str">
        <f t="shared" si="1"/>
        <v/>
      </c>
    </row>
    <row r="76" spans="1:8">
      <c r="H76" s="35" t="str">
        <f t="shared" si="1"/>
        <v/>
      </c>
    </row>
    <row r="77" spans="1:8">
      <c r="H77" s="35" t="str">
        <f t="shared" si="1"/>
        <v/>
      </c>
    </row>
    <row r="78" spans="1:8">
      <c r="H78" s="35" t="str">
        <f t="shared" si="1"/>
        <v/>
      </c>
    </row>
    <row r="79" spans="1:8">
      <c r="H79" s="35" t="str">
        <f t="shared" si="1"/>
        <v/>
      </c>
    </row>
    <row r="80" spans="1:8">
      <c r="H80" s="35" t="str">
        <f t="shared" si="1"/>
        <v/>
      </c>
    </row>
    <row r="81" spans="8:8">
      <c r="H81" s="35" t="str">
        <f t="shared" si="1"/>
        <v/>
      </c>
    </row>
    <row r="82" spans="8:8">
      <c r="H82" s="35" t="str">
        <f t="shared" si="1"/>
        <v/>
      </c>
    </row>
    <row r="83" spans="8:8">
      <c r="H83" s="35" t="str">
        <f t="shared" si="1"/>
        <v/>
      </c>
    </row>
    <row r="84" spans="8:8">
      <c r="H84" s="35" t="str">
        <f t="shared" si="1"/>
        <v/>
      </c>
    </row>
    <row r="85" spans="8:8">
      <c r="H85" s="35" t="str">
        <f t="shared" si="1"/>
        <v/>
      </c>
    </row>
    <row r="86" spans="8:8">
      <c r="H86" s="35" t="str">
        <f t="shared" si="1"/>
        <v/>
      </c>
    </row>
    <row r="87" spans="8:8">
      <c r="H87" s="35" t="str">
        <f t="shared" si="1"/>
        <v/>
      </c>
    </row>
    <row r="88" spans="8:8">
      <c r="H88" s="35" t="str">
        <f t="shared" si="1"/>
        <v/>
      </c>
    </row>
    <row r="89" spans="8:8">
      <c r="H89" s="35" t="str">
        <f t="shared" si="1"/>
        <v/>
      </c>
    </row>
    <row r="90" spans="8:8">
      <c r="H90" s="35" t="str">
        <f t="shared" si="1"/>
        <v/>
      </c>
    </row>
    <row r="91" spans="8:8">
      <c r="H91" s="35" t="str">
        <f t="shared" si="1"/>
        <v/>
      </c>
    </row>
    <row r="92" spans="8:8">
      <c r="H92" s="35" t="str">
        <f t="shared" si="1"/>
        <v/>
      </c>
    </row>
    <row r="93" spans="8:8">
      <c r="H93" s="35" t="str">
        <f t="shared" si="1"/>
        <v/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3"/>
  <dimension ref="A1:H72"/>
  <sheetViews>
    <sheetView workbookViewId="0">
      <selection activeCell="B18" sqref="B18"/>
    </sheetView>
  </sheetViews>
  <sheetFormatPr defaultRowHeight="13.5"/>
  <cols>
    <col min="1" max="2" width="15.125" bestFit="1" customWidth="1"/>
    <col min="3" max="4" width="2.5" bestFit="1" customWidth="1"/>
    <col min="6" max="7" width="3.625" style="35" customWidth="1"/>
    <col min="8" max="8" width="3.375" style="35" bestFit="1" customWidth="1"/>
  </cols>
  <sheetData>
    <row r="1" spans="1:8">
      <c r="A1" s="4" t="s">
        <v>9</v>
      </c>
      <c r="C1" s="5" t="s">
        <v>2</v>
      </c>
      <c r="D1" s="5"/>
      <c r="E1" s="38" t="s">
        <v>58</v>
      </c>
      <c r="F1" s="35" t="str">
        <f ca="1">IF(OR(OR($A1="",$B1=""),AND($C1&lt;&gt;"",$D1&lt;&gt;"")),"",VLOOKUP(A1,IF({1,0},INDIRECT("达修波得!$"&amp;$E$1&amp;"$2:$"&amp;$E$1&amp;"$8"),达修波得!$A$2:$A$8),2,FALSE))</f>
        <v/>
      </c>
      <c r="G1" s="35" t="str">
        <f ca="1">IF(OR(OR($A1="",$B1=""),AND($C1&lt;&gt;"",$D1&lt;&gt;"")),"",VLOOKUP(B1,IF({1,0},INDIRECT("达修波得!$"&amp;$E$1&amp;"$2:$"&amp;$E$1&amp;"$8"),达修波得!$A$2:$A$8),2,FALSE))</f>
        <v/>
      </c>
      <c r="H1" s="35" t="str">
        <f ca="1">F1&amp;G1</f>
        <v/>
      </c>
    </row>
    <row r="2" spans="1:8">
      <c r="A2" t="s">
        <v>86</v>
      </c>
      <c r="B2" t="s">
        <v>37</v>
      </c>
      <c r="F2" s="35" t="str">
        <f ca="1">IF(OR(OR($A2="",$B2=""),AND($C2&lt;&gt;"",$D2&lt;&gt;"")),"",VLOOKUP(A2,IF({1,0},INDIRECT("达修波得!$"&amp;$E$1&amp;"$2:$"&amp;$E$1&amp;"$8"),达修波得!$A$2:$A$8),2,FALSE))</f>
        <v>爷</v>
      </c>
      <c r="G2" s="35" t="str">
        <f ca="1">IF(OR(OR($A2="",$B2=""),AND($C2&lt;&gt;"",$D2&lt;&gt;"")),"",VLOOKUP(B2,IF({1,0},INDIRECT("达修波得!$"&amp;$E$1&amp;"$2:$"&amp;$E$1&amp;"$8"),达修波得!$A$2:$A$8),2,FALSE))</f>
        <v>举</v>
      </c>
      <c r="H2" s="35" t="str">
        <f t="shared" ref="H2:H65" ca="1" si="0">F2&amp;G2</f>
        <v>爷举</v>
      </c>
    </row>
    <row r="3" spans="1:8">
      <c r="A3" t="s">
        <v>88</v>
      </c>
      <c r="B3" t="s">
        <v>83</v>
      </c>
      <c r="F3" s="35" t="str">
        <f ca="1">IF(OR(OR($A3="",$B3=""),AND($C3&lt;&gt;"",$D3&lt;&gt;"")),"",VLOOKUP(A3,IF({1,0},INDIRECT("达修波得!$"&amp;$E$1&amp;"$2:$"&amp;$E$1&amp;"$8"),达修波得!$A$2:$A$8),2,FALSE))</f>
        <v>黑</v>
      </c>
      <c r="G3" s="35" t="str">
        <f ca="1">IF(OR(OR($A3="",$B3=""),AND($C3&lt;&gt;"",$D3&lt;&gt;"")),"",VLOOKUP(B3,IF({1,0},INDIRECT("达修波得!$"&amp;$E$1&amp;"$2:$"&amp;$E$1&amp;"$8"),达修波得!$A$2:$A$8),2,FALSE))</f>
        <v>二</v>
      </c>
      <c r="H3" s="35" t="str">
        <f t="shared" ca="1" si="0"/>
        <v>黑二</v>
      </c>
    </row>
    <row r="4" spans="1:8">
      <c r="A4" t="s">
        <v>14</v>
      </c>
      <c r="B4" t="s">
        <v>100</v>
      </c>
      <c r="F4" s="35" t="str">
        <f ca="1">IF(OR(OR($A4="",$B4=""),AND($C4&lt;&gt;"",$D4&lt;&gt;"")),"",VLOOKUP(A4,IF({1,0},INDIRECT("达修波得!$"&amp;$E$1&amp;"$2:$"&amp;$E$1&amp;"$8"),达修波得!$A$2:$A$8),2,FALSE))</f>
        <v>宇</v>
      </c>
      <c r="G4" s="35" t="str">
        <f ca="1">IF(OR(OR($A4="",$B4=""),AND($C4&lt;&gt;"",$D4&lt;&gt;"")),"",VLOOKUP(B4,IF({1,0},INDIRECT("达修波得!$"&amp;$E$1&amp;"$2:$"&amp;$E$1&amp;"$8"),达修波得!$A$2:$A$8),2,FALSE))</f>
        <v>磊</v>
      </c>
      <c r="H4" s="35" t="str">
        <f t="shared" ca="1" si="0"/>
        <v>宇磊</v>
      </c>
    </row>
    <row r="5" spans="1:8">
      <c r="B5" t="s">
        <v>101</v>
      </c>
      <c r="F5" s="35" t="str">
        <f ca="1">IF(OR(OR($A5="",$B5=""),AND($C5&lt;&gt;"",$D5&lt;&gt;"")),"",VLOOKUP(A5,IF({1,0},INDIRECT("达修波得!$"&amp;$E$1&amp;"$2:$"&amp;$E$1&amp;"$8"),达修波得!$A$2:$A$8),2,FALSE))</f>
        <v/>
      </c>
      <c r="G5" s="35" t="str">
        <f ca="1">IF(OR(OR($A5="",$B5=""),AND($C5&lt;&gt;"",$D5&lt;&gt;"")),"",VLOOKUP(B5,IF({1,0},INDIRECT("达修波得!$"&amp;$E$1&amp;"$2:$"&amp;$E$1&amp;"$8"),达修波得!$A$2:$A$8),2,FALSE))</f>
        <v/>
      </c>
      <c r="H5" s="35" t="str">
        <f t="shared" ca="1" si="0"/>
        <v/>
      </c>
    </row>
    <row r="6" spans="1:8">
      <c r="A6" s="4" t="s">
        <v>10</v>
      </c>
      <c r="F6" s="35" t="str">
        <f ca="1">IF(OR(OR($A6="",$B6=""),AND($C6&lt;&gt;"",$D6&lt;&gt;"")),"",VLOOKUP(A6,IF({1,0},INDIRECT("达修波得!$"&amp;$E$1&amp;"$2:$"&amp;$E$1&amp;"$8"),达修波得!$A$2:$A$8),2,FALSE))</f>
        <v/>
      </c>
      <c r="G6" s="35" t="str">
        <f ca="1">IF(OR(OR($A6="",$B6=""),AND($C6&lt;&gt;"",$D6&lt;&gt;"")),"",VLOOKUP(B6,IF({1,0},INDIRECT("达修波得!$"&amp;$E$1&amp;"$2:$"&amp;$E$1&amp;"$8"),达修波得!$A$2:$A$8),2,FALSE))</f>
        <v/>
      </c>
      <c r="H6" s="35" t="str">
        <f t="shared" ca="1" si="0"/>
        <v/>
      </c>
    </row>
    <row r="7" spans="1:8">
      <c r="A7" t="s">
        <v>86</v>
      </c>
      <c r="B7" t="s">
        <v>83</v>
      </c>
      <c r="F7" s="35" t="str">
        <f ca="1">IF(OR(OR($A7="",$B7=""),AND($C7&lt;&gt;"",$D7&lt;&gt;"")),"",VLOOKUP(A7,IF({1,0},INDIRECT("达修波得!$"&amp;$E$1&amp;"$2:$"&amp;$E$1&amp;"$8"),达修波得!$A$2:$A$8),2,FALSE))</f>
        <v>爷</v>
      </c>
      <c r="G7" s="35" t="str">
        <f ca="1">IF(OR(OR($A7="",$B7=""),AND($C7&lt;&gt;"",$D7&lt;&gt;"")),"",VLOOKUP(B7,IF({1,0},INDIRECT("达修波得!$"&amp;$E$1&amp;"$2:$"&amp;$E$1&amp;"$8"),达修波得!$A$2:$A$8),2,FALSE))</f>
        <v>二</v>
      </c>
      <c r="H7" s="35" t="str">
        <f t="shared" ca="1" si="0"/>
        <v>爷二</v>
      </c>
    </row>
    <row r="8" spans="1:8">
      <c r="A8" t="s">
        <v>37</v>
      </c>
      <c r="B8" t="s">
        <v>100</v>
      </c>
      <c r="F8" s="35" t="str">
        <f ca="1">IF(OR(OR($A8="",$B8=""),AND($C8&lt;&gt;"",$D8&lt;&gt;"")),"",VLOOKUP(A8,IF({1,0},INDIRECT("达修波得!$"&amp;$E$1&amp;"$2:$"&amp;$E$1&amp;"$8"),达修波得!$A$2:$A$8),2,FALSE))</f>
        <v>举</v>
      </c>
      <c r="G8" s="35" t="str">
        <f ca="1">IF(OR(OR($A8="",$B8=""),AND($C8&lt;&gt;"",$D8&lt;&gt;"")),"",VLOOKUP(B8,IF({1,0},INDIRECT("达修波得!$"&amp;$E$1&amp;"$2:$"&amp;$E$1&amp;"$8"),达修波得!$A$2:$A$8),2,FALSE))</f>
        <v>磊</v>
      </c>
      <c r="H8" s="35" t="str">
        <f t="shared" ca="1" si="0"/>
        <v>举磊</v>
      </c>
    </row>
    <row r="9" spans="1:8">
      <c r="A9" t="s">
        <v>88</v>
      </c>
      <c r="B9" t="s">
        <v>101</v>
      </c>
      <c r="F9" s="35" t="str">
        <f ca="1">IF(OR(OR($A9="",$B9=""),AND($C9&lt;&gt;"",$D9&lt;&gt;"")),"",VLOOKUP(A9,IF({1,0},INDIRECT("达修波得!$"&amp;$E$1&amp;"$2:$"&amp;$E$1&amp;"$8"),达修波得!$A$2:$A$8),2,FALSE))</f>
        <v>黑</v>
      </c>
      <c r="G9" s="35" t="str">
        <f ca="1">IF(OR(OR($A9="",$B9=""),AND($C9&lt;&gt;"",$D9&lt;&gt;"")),"",VLOOKUP(B9,IF({1,0},INDIRECT("达修波得!$"&amp;$E$1&amp;"$2:$"&amp;$E$1&amp;"$8"),达修波得!$A$2:$A$8),2,FALSE))</f>
        <v>贝</v>
      </c>
      <c r="H9" s="35" t="str">
        <f t="shared" ca="1" si="0"/>
        <v>黑贝</v>
      </c>
    </row>
    <row r="10" spans="1:8">
      <c r="A10" t="s">
        <v>14</v>
      </c>
      <c r="F10" s="35" t="str">
        <f ca="1">IF(OR(OR($A10="",$B10=""),AND($C10&lt;&gt;"",$D10&lt;&gt;"")),"",VLOOKUP(A10,IF({1,0},INDIRECT("达修波得!$"&amp;$E$1&amp;"$2:$"&amp;$E$1&amp;"$8"),达修波得!$A$2:$A$8),2,FALSE))</f>
        <v/>
      </c>
      <c r="G10" s="35" t="str">
        <f ca="1">IF(OR(OR($A10="",$B10=""),AND($C10&lt;&gt;"",$D10&lt;&gt;"")),"",VLOOKUP(B10,IF({1,0},INDIRECT("达修波得!$"&amp;$E$1&amp;"$2:$"&amp;$E$1&amp;"$8"),达修波得!$A$2:$A$8),2,FALSE))</f>
        <v/>
      </c>
      <c r="H10" s="35" t="str">
        <f t="shared" ca="1" si="0"/>
        <v/>
      </c>
    </row>
    <row r="11" spans="1:8">
      <c r="A11" s="4" t="s">
        <v>11</v>
      </c>
      <c r="F11" s="35" t="str">
        <f ca="1">IF(OR(OR($A11="",$B11=""),AND($C11&lt;&gt;"",$D11&lt;&gt;"")),"",VLOOKUP(A11,IF({1,0},INDIRECT("达修波得!$"&amp;$E$1&amp;"$2:$"&amp;$E$1&amp;"$8"),达修波得!$A$2:$A$8),2,FALSE))</f>
        <v/>
      </c>
      <c r="G11" s="35" t="str">
        <f ca="1">IF(OR(OR($A11="",$B11=""),AND($C11&lt;&gt;"",$D11&lt;&gt;"")),"",VLOOKUP(B11,IF({1,0},INDIRECT("达修波得!$"&amp;$E$1&amp;"$2:$"&amp;$E$1&amp;"$8"),达修波得!$A$2:$A$8),2,FALSE))</f>
        <v/>
      </c>
      <c r="H11" s="35" t="str">
        <f t="shared" ca="1" si="0"/>
        <v/>
      </c>
    </row>
    <row r="12" spans="1:8">
      <c r="A12" t="s">
        <v>86</v>
      </c>
      <c r="B12" t="s">
        <v>100</v>
      </c>
      <c r="F12" s="35" t="str">
        <f ca="1">IF(OR(OR($A12="",$B12=""),AND($C12&lt;&gt;"",$D12&lt;&gt;"")),"",VLOOKUP(A12,IF({1,0},INDIRECT("达修波得!$"&amp;$E$1&amp;"$2:$"&amp;$E$1&amp;"$8"),达修波得!$A$2:$A$8),2,FALSE))</f>
        <v>爷</v>
      </c>
      <c r="G12" s="35" t="str">
        <f ca="1">IF(OR(OR($A12="",$B12=""),AND($C12&lt;&gt;"",$D12&lt;&gt;"")),"",VLOOKUP(B12,IF({1,0},INDIRECT("达修波得!$"&amp;$E$1&amp;"$2:$"&amp;$E$1&amp;"$8"),达修波得!$A$2:$A$8),2,FALSE))</f>
        <v>磊</v>
      </c>
      <c r="H12" s="35" t="str">
        <f t="shared" ca="1" si="0"/>
        <v>爷磊</v>
      </c>
    </row>
    <row r="13" spans="1:8">
      <c r="A13" t="s">
        <v>83</v>
      </c>
      <c r="B13" t="s">
        <v>101</v>
      </c>
      <c r="F13" s="35" t="str">
        <f ca="1">IF(OR(OR($A13="",$B13=""),AND($C13&lt;&gt;"",$D13&lt;&gt;"")),"",VLOOKUP(A13,IF({1,0},INDIRECT("达修波得!$"&amp;$E$1&amp;"$2:$"&amp;$E$1&amp;"$8"),达修波得!$A$2:$A$8),2,FALSE))</f>
        <v>二</v>
      </c>
      <c r="G13" s="35" t="str">
        <f ca="1">IF(OR(OR($A13="",$B13=""),AND($C13&lt;&gt;"",$D13&lt;&gt;"")),"",VLOOKUP(B13,IF({1,0},INDIRECT("达修波得!$"&amp;$E$1&amp;"$2:$"&amp;$E$1&amp;"$8"),达修波得!$A$2:$A$8),2,FALSE))</f>
        <v>贝</v>
      </c>
      <c r="H13" s="35" t="str">
        <f t="shared" ca="1" si="0"/>
        <v>二贝</v>
      </c>
    </row>
    <row r="14" spans="1:8">
      <c r="A14" t="s">
        <v>37</v>
      </c>
      <c r="F14" s="35" t="str">
        <f ca="1">IF(OR(OR($A14="",$B14=""),AND($C14&lt;&gt;"",$D14&lt;&gt;"")),"",VLOOKUP(A14,IF({1,0},INDIRECT("达修波得!$"&amp;$E$1&amp;"$2:$"&amp;$E$1&amp;"$8"),达修波得!$A$2:$A$8),2,FALSE))</f>
        <v/>
      </c>
      <c r="G14" s="35" t="str">
        <f ca="1">IF(OR(OR($A14="",$B14=""),AND($C14&lt;&gt;"",$D14&lt;&gt;"")),"",VLOOKUP(B14,IF({1,0},INDIRECT("达修波得!$"&amp;$E$1&amp;"$2:$"&amp;$E$1&amp;"$8"),达修波得!$A$2:$A$8),2,FALSE))</f>
        <v/>
      </c>
      <c r="H14" s="35" t="str">
        <f t="shared" ca="1" si="0"/>
        <v/>
      </c>
    </row>
    <row r="15" spans="1:8">
      <c r="A15" t="s">
        <v>88</v>
      </c>
      <c r="B15" t="s">
        <v>14</v>
      </c>
      <c r="F15" s="35" t="str">
        <f ca="1">IF(OR(OR($A15="",$B15=""),AND($C15&lt;&gt;"",$D15&lt;&gt;"")),"",VLOOKUP(A15,IF({1,0},INDIRECT("达修波得!$"&amp;$E$1&amp;"$2:$"&amp;$E$1&amp;"$8"),达修波得!$A$2:$A$8),2,FALSE))</f>
        <v>黑</v>
      </c>
      <c r="G15" s="35" t="str">
        <f ca="1">IF(OR(OR($A15="",$B15=""),AND($C15&lt;&gt;"",$D15&lt;&gt;"")),"",VLOOKUP(B15,IF({1,0},INDIRECT("达修波得!$"&amp;$E$1&amp;"$2:$"&amp;$E$1&amp;"$8"),达修波得!$A$2:$A$8),2,FALSE))</f>
        <v>宇</v>
      </c>
      <c r="H15" s="35" t="str">
        <f t="shared" ca="1" si="0"/>
        <v>黑宇</v>
      </c>
    </row>
    <row r="16" spans="1:8">
      <c r="A16" s="4" t="s">
        <v>15</v>
      </c>
      <c r="F16" s="35" t="str">
        <f ca="1">IF(OR(OR($A16="",$B16=""),AND($C16&lt;&gt;"",$D16&lt;&gt;"")),"",VLOOKUP(A16,IF({1,0},INDIRECT("达修波得!$"&amp;$E$1&amp;"$2:$"&amp;$E$1&amp;"$8"),达修波得!$A$2:$A$8),2,FALSE))</f>
        <v/>
      </c>
      <c r="G16" s="35" t="str">
        <f ca="1">IF(OR(OR($A16="",$B16=""),AND($C16&lt;&gt;"",$D16&lt;&gt;"")),"",VLOOKUP(B16,IF({1,0},INDIRECT("达修波得!$"&amp;$E$1&amp;"$2:$"&amp;$E$1&amp;"$8"),达修波得!$A$2:$A$8),2,FALSE))</f>
        <v/>
      </c>
      <c r="H16" s="35" t="str">
        <f t="shared" ca="1" si="0"/>
        <v/>
      </c>
    </row>
    <row r="17" spans="1:8">
      <c r="A17" t="s">
        <v>86</v>
      </c>
      <c r="B17" t="s">
        <v>101</v>
      </c>
      <c r="F17" s="35" t="str">
        <f ca="1">IF(OR(OR($A17="",$B17=""),AND($C17&lt;&gt;"",$D17&lt;&gt;"")),"",VLOOKUP(A17,IF({1,0},INDIRECT("达修波得!$"&amp;$E$1&amp;"$2:$"&amp;$E$1&amp;"$8"),达修波得!$A$2:$A$8),2,FALSE))</f>
        <v>爷</v>
      </c>
      <c r="G17" s="35" t="str">
        <f ca="1">IF(OR(OR($A17="",$B17=""),AND($C17&lt;&gt;"",$D17&lt;&gt;"")),"",VLOOKUP(B17,IF({1,0},INDIRECT("达修波得!$"&amp;$E$1&amp;"$2:$"&amp;$E$1&amp;"$8"),达修波得!$A$2:$A$8),2,FALSE))</f>
        <v>贝</v>
      </c>
      <c r="H17" s="35" t="str">
        <f t="shared" ca="1" si="0"/>
        <v>爷贝</v>
      </c>
    </row>
    <row r="18" spans="1:8">
      <c r="A18" t="s">
        <v>100</v>
      </c>
      <c r="F18" s="35" t="str">
        <f ca="1">IF(OR(OR($A18="",$B18=""),AND($C18&lt;&gt;"",$D18&lt;&gt;"")),"",VLOOKUP(A18,IF({1,0},INDIRECT("达修波得!$"&amp;$E$1&amp;"$2:$"&amp;$E$1&amp;"$8"),达修波得!$A$2:$A$8),2,FALSE))</f>
        <v/>
      </c>
      <c r="G18" s="35" t="str">
        <f ca="1">IF(OR(OR($A18="",$B18=""),AND($C18&lt;&gt;"",$D18&lt;&gt;"")),"",VLOOKUP(B18,IF({1,0},INDIRECT("达修波得!$"&amp;$E$1&amp;"$2:$"&amp;$E$1&amp;"$8"),达修波得!$A$2:$A$8),2,FALSE))</f>
        <v/>
      </c>
      <c r="H18" s="35" t="str">
        <f t="shared" ca="1" si="0"/>
        <v/>
      </c>
    </row>
    <row r="19" spans="1:8">
      <c r="A19" t="s">
        <v>83</v>
      </c>
      <c r="B19" t="s">
        <v>14</v>
      </c>
      <c r="F19" s="35" t="str">
        <f ca="1">IF(OR(OR($A19="",$B19=""),AND($C19&lt;&gt;"",$D19&lt;&gt;"")),"",VLOOKUP(A19,IF({1,0},INDIRECT("达修波得!$"&amp;$E$1&amp;"$2:$"&amp;$E$1&amp;"$8"),达修波得!$A$2:$A$8),2,FALSE))</f>
        <v>二</v>
      </c>
      <c r="G19" s="35" t="str">
        <f ca="1">IF(OR(OR($A19="",$B19=""),AND($C19&lt;&gt;"",$D19&lt;&gt;"")),"",VLOOKUP(B19,IF({1,0},INDIRECT("达修波得!$"&amp;$E$1&amp;"$2:$"&amp;$E$1&amp;"$8"),达修波得!$A$2:$A$8),2,FALSE))</f>
        <v>宇</v>
      </c>
      <c r="H19" s="35" t="str">
        <f t="shared" ca="1" si="0"/>
        <v>二宇</v>
      </c>
    </row>
    <row r="20" spans="1:8">
      <c r="A20" t="s">
        <v>37</v>
      </c>
      <c r="B20" t="s">
        <v>88</v>
      </c>
      <c r="F20" s="35" t="str">
        <f ca="1">IF(OR(OR($A20="",$B20=""),AND($C20&lt;&gt;"",$D20&lt;&gt;"")),"",VLOOKUP(A20,IF({1,0},INDIRECT("达修波得!$"&amp;$E$1&amp;"$2:$"&amp;$E$1&amp;"$8"),达修波得!$A$2:$A$8),2,FALSE))</f>
        <v>举</v>
      </c>
      <c r="G20" s="35" t="str">
        <f ca="1">IF(OR(OR($A20="",$B20=""),AND($C20&lt;&gt;"",$D20&lt;&gt;"")),"",VLOOKUP(B20,IF({1,0},INDIRECT("达修波得!$"&amp;$E$1&amp;"$2:$"&amp;$E$1&amp;"$8"),达修波得!$A$2:$A$8),2,FALSE))</f>
        <v>黑</v>
      </c>
      <c r="H20" s="35" t="str">
        <f t="shared" ca="1" si="0"/>
        <v>举黑</v>
      </c>
    </row>
    <row r="21" spans="1:8">
      <c r="A21" s="4" t="s">
        <v>16</v>
      </c>
      <c r="F21" s="35" t="str">
        <f ca="1">IF(OR(OR($A21="",$B21=""),AND($C21&lt;&gt;"",$D21&lt;&gt;"")),"",VLOOKUP(A21,IF({1,0},INDIRECT("达修波得!$"&amp;$E$1&amp;"$2:$"&amp;$E$1&amp;"$8"),达修波得!$A$2:$A$8),2,FALSE))</f>
        <v/>
      </c>
      <c r="G21" s="35" t="str">
        <f ca="1">IF(OR(OR($A21="",$B21=""),AND($C21&lt;&gt;"",$D21&lt;&gt;"")),"",VLOOKUP(B21,IF({1,0},INDIRECT("达修波得!$"&amp;$E$1&amp;"$2:$"&amp;$E$1&amp;"$8"),达修波得!$A$2:$A$8),2,FALSE))</f>
        <v/>
      </c>
      <c r="H21" s="35" t="str">
        <f t="shared" ca="1" si="0"/>
        <v/>
      </c>
    </row>
    <row r="22" spans="1:8">
      <c r="A22" t="s">
        <v>86</v>
      </c>
      <c r="F22" s="35" t="str">
        <f ca="1">IF(OR(OR($A22="",$B22=""),AND($C22&lt;&gt;"",$D22&lt;&gt;"")),"",VLOOKUP(A22,IF({1,0},INDIRECT("达修波得!$"&amp;$E$1&amp;"$2:$"&amp;$E$1&amp;"$8"),达修波得!$A$2:$A$8),2,FALSE))</f>
        <v/>
      </c>
      <c r="G22" s="35" t="str">
        <f ca="1">IF(OR(OR($A22="",$B22=""),AND($C22&lt;&gt;"",$D22&lt;&gt;"")),"",VLOOKUP(B22,IF({1,0},INDIRECT("达修波得!$"&amp;$E$1&amp;"$2:$"&amp;$E$1&amp;"$8"),达修波得!$A$2:$A$8),2,FALSE))</f>
        <v/>
      </c>
      <c r="H22" s="35" t="str">
        <f t="shared" ca="1" si="0"/>
        <v/>
      </c>
    </row>
    <row r="23" spans="1:8">
      <c r="A23" t="s">
        <v>101</v>
      </c>
      <c r="B23" t="s">
        <v>14</v>
      </c>
      <c r="F23" s="35" t="str">
        <f ca="1">IF(OR(OR($A23="",$B23=""),AND($C23&lt;&gt;"",$D23&lt;&gt;"")),"",VLOOKUP(A23,IF({1,0},INDIRECT("达修波得!$"&amp;$E$1&amp;"$2:$"&amp;$E$1&amp;"$8"),达修波得!$A$2:$A$8),2,FALSE))</f>
        <v>贝</v>
      </c>
      <c r="G23" s="35" t="str">
        <f ca="1">IF(OR(OR($A23="",$B23=""),AND($C23&lt;&gt;"",$D23&lt;&gt;"")),"",VLOOKUP(B23,IF({1,0},INDIRECT("达修波得!$"&amp;$E$1&amp;"$2:$"&amp;$E$1&amp;"$8"),达修波得!$A$2:$A$8),2,FALSE))</f>
        <v>宇</v>
      </c>
      <c r="H23" s="35" t="str">
        <f t="shared" ca="1" si="0"/>
        <v>贝宇</v>
      </c>
    </row>
    <row r="24" spans="1:8">
      <c r="A24" t="s">
        <v>100</v>
      </c>
      <c r="B24" t="s">
        <v>88</v>
      </c>
      <c r="F24" s="35" t="str">
        <f ca="1">IF(OR(OR($A24="",$B24=""),AND($C24&lt;&gt;"",$D24&lt;&gt;"")),"",VLOOKUP(A24,IF({1,0},INDIRECT("达修波得!$"&amp;$E$1&amp;"$2:$"&amp;$E$1&amp;"$8"),达修波得!$A$2:$A$8),2,FALSE))</f>
        <v>磊</v>
      </c>
      <c r="G24" s="35" t="str">
        <f ca="1">IF(OR(OR($A24="",$B24=""),AND($C24&lt;&gt;"",$D24&lt;&gt;"")),"",VLOOKUP(B24,IF({1,0},INDIRECT("达修波得!$"&amp;$E$1&amp;"$2:$"&amp;$E$1&amp;"$8"),达修波得!$A$2:$A$8),2,FALSE))</f>
        <v>黑</v>
      </c>
      <c r="H24" s="35" t="str">
        <f t="shared" ca="1" si="0"/>
        <v>磊黑</v>
      </c>
    </row>
    <row r="25" spans="1:8">
      <c r="A25" t="s">
        <v>83</v>
      </c>
      <c r="B25" t="s">
        <v>37</v>
      </c>
      <c r="F25" s="35" t="str">
        <f ca="1">IF(OR(OR($A25="",$B25=""),AND($C25&lt;&gt;"",$D25&lt;&gt;"")),"",VLOOKUP(A25,IF({1,0},INDIRECT("达修波得!$"&amp;$E$1&amp;"$2:$"&amp;$E$1&amp;"$8"),达修波得!$A$2:$A$8),2,FALSE))</f>
        <v>二</v>
      </c>
      <c r="G25" s="35" t="str">
        <f ca="1">IF(OR(OR($A25="",$B25=""),AND($C25&lt;&gt;"",$D25&lt;&gt;"")),"",VLOOKUP(B25,IF({1,0},INDIRECT("达修波得!$"&amp;$E$1&amp;"$2:$"&amp;$E$1&amp;"$8"),达修波得!$A$2:$A$8),2,FALSE))</f>
        <v>举</v>
      </c>
      <c r="H25" s="35" t="str">
        <f t="shared" ca="1" si="0"/>
        <v>二举</v>
      </c>
    </row>
    <row r="26" spans="1:8">
      <c r="A26" s="4" t="s">
        <v>17</v>
      </c>
      <c r="F26" s="35" t="str">
        <f ca="1">IF(OR(OR($A26="",$B26=""),AND($C26&lt;&gt;"",$D26&lt;&gt;"")),"",VLOOKUP(A26,IF({1,0},INDIRECT("达修波得!$"&amp;$E$1&amp;"$2:$"&amp;$E$1&amp;"$8"),达修波得!$A$2:$A$8),2,FALSE))</f>
        <v/>
      </c>
      <c r="G26" s="35" t="str">
        <f ca="1">IF(OR(OR($A26="",$B26=""),AND($C26&lt;&gt;"",$D26&lt;&gt;"")),"",VLOOKUP(B26,IF({1,0},INDIRECT("达修波得!$"&amp;$E$1&amp;"$2:$"&amp;$E$1&amp;"$8"),达修波得!$A$2:$A$8),2,FALSE))</f>
        <v/>
      </c>
      <c r="H26" s="35" t="str">
        <f t="shared" ca="1" si="0"/>
        <v/>
      </c>
    </row>
    <row r="27" spans="1:8">
      <c r="A27" t="s">
        <v>86</v>
      </c>
      <c r="B27" s="1" t="s">
        <v>14</v>
      </c>
      <c r="F27" s="35" t="str">
        <f ca="1">IF(OR(OR($A27="",$B27=""),AND($C27&lt;&gt;"",$D27&lt;&gt;"")),"",VLOOKUP(A27,IF({1,0},INDIRECT("达修波得!$"&amp;$E$1&amp;"$2:$"&amp;$E$1&amp;"$8"),达修波得!$A$2:$A$8),2,FALSE))</f>
        <v>爷</v>
      </c>
      <c r="G27" s="35" t="str">
        <f ca="1">IF(OR(OR($A27="",$B27=""),AND($C27&lt;&gt;"",$D27&lt;&gt;"")),"",VLOOKUP(B27,IF({1,0},INDIRECT("达修波得!$"&amp;$E$1&amp;"$2:$"&amp;$E$1&amp;"$8"),达修波得!$A$2:$A$8),2,FALSE))</f>
        <v>宇</v>
      </c>
      <c r="H27" s="35" t="str">
        <f t="shared" ca="1" si="0"/>
        <v>爷宇</v>
      </c>
    </row>
    <row r="28" spans="1:8">
      <c r="B28" t="s">
        <v>88</v>
      </c>
      <c r="F28" s="35" t="str">
        <f ca="1">IF(OR(OR($A28="",$B28=""),AND($C28&lt;&gt;"",$D28&lt;&gt;"")),"",VLOOKUP(A28,IF({1,0},INDIRECT("达修波得!$"&amp;$E$1&amp;"$2:$"&amp;$E$1&amp;"$8"),达修波得!$A$2:$A$8),2,FALSE))</f>
        <v/>
      </c>
      <c r="G28" s="35" t="str">
        <f ca="1">IF(OR(OR($A28="",$B28=""),AND($C28&lt;&gt;"",$D28&lt;&gt;"")),"",VLOOKUP(B28,IF({1,0},INDIRECT("达修波得!$"&amp;$E$1&amp;"$2:$"&amp;$E$1&amp;"$8"),达修波得!$A$2:$A$8),2,FALSE))</f>
        <v/>
      </c>
      <c r="H28" s="35" t="str">
        <f t="shared" ca="1" si="0"/>
        <v/>
      </c>
    </row>
    <row r="29" spans="1:8">
      <c r="A29" t="s">
        <v>101</v>
      </c>
      <c r="B29" t="s">
        <v>37</v>
      </c>
      <c r="F29" s="35" t="str">
        <f ca="1">IF(OR(OR($A29="",$B29=""),AND($C29&lt;&gt;"",$D29&lt;&gt;"")),"",VLOOKUP(A29,IF({1,0},INDIRECT("达修波得!$"&amp;$E$1&amp;"$2:$"&amp;$E$1&amp;"$8"),达修波得!$A$2:$A$8),2,FALSE))</f>
        <v>贝</v>
      </c>
      <c r="G29" s="35" t="str">
        <f ca="1">IF(OR(OR($A29="",$B29=""),AND($C29&lt;&gt;"",$D29&lt;&gt;"")),"",VLOOKUP(B29,IF({1,0},INDIRECT("达修波得!$"&amp;$E$1&amp;"$2:$"&amp;$E$1&amp;"$8"),达修波得!$A$2:$A$8),2,FALSE))</f>
        <v>举</v>
      </c>
      <c r="H29" s="35" t="str">
        <f t="shared" ca="1" si="0"/>
        <v>贝举</v>
      </c>
    </row>
    <row r="30" spans="1:8">
      <c r="A30" t="s">
        <v>100</v>
      </c>
      <c r="B30" t="s">
        <v>83</v>
      </c>
      <c r="F30" s="35" t="str">
        <f ca="1">IF(OR(OR($A30="",$B30=""),AND($C30&lt;&gt;"",$D30&lt;&gt;"")),"",VLOOKUP(A30,IF({1,0},INDIRECT("达修波得!$"&amp;$E$1&amp;"$2:$"&amp;$E$1&amp;"$8"),达修波得!$A$2:$A$8),2,FALSE))</f>
        <v>磊</v>
      </c>
      <c r="G30" s="35" t="str">
        <f ca="1">IF(OR(OR($A30="",$B30=""),AND($C30&lt;&gt;"",$D30&lt;&gt;"")),"",VLOOKUP(B30,IF({1,0},INDIRECT("达修波得!$"&amp;$E$1&amp;"$2:$"&amp;$E$1&amp;"$8"),达修波得!$A$2:$A$8),2,FALSE))</f>
        <v>二</v>
      </c>
      <c r="H30" s="35" t="str">
        <f t="shared" ca="1" si="0"/>
        <v>磊二</v>
      </c>
    </row>
    <row r="31" spans="1:8">
      <c r="A31" s="4" t="s">
        <v>18</v>
      </c>
      <c r="F31" s="35" t="str">
        <f ca="1">IF(OR(OR($A31="",$B31=""),AND($C31&lt;&gt;"",$D31&lt;&gt;"")),"",VLOOKUP(A31,IF({1,0},INDIRECT("达修波得!$"&amp;$E$1&amp;"$2:$"&amp;$E$1&amp;"$8"),达修波得!$A$2:$A$8),2,FALSE))</f>
        <v/>
      </c>
      <c r="G31" s="35" t="str">
        <f ca="1">IF(OR(OR($A31="",$B31=""),AND($C31&lt;&gt;"",$D31&lt;&gt;"")),"",VLOOKUP(B31,IF({1,0},INDIRECT("达修波得!$"&amp;$E$1&amp;"$2:$"&amp;$E$1&amp;"$8"),达修波得!$A$2:$A$8),2,FALSE))</f>
        <v/>
      </c>
      <c r="H31" s="35" t="str">
        <f t="shared" ca="1" si="0"/>
        <v/>
      </c>
    </row>
    <row r="32" spans="1:8">
      <c r="A32" t="s">
        <v>86</v>
      </c>
      <c r="B32" t="s">
        <v>88</v>
      </c>
      <c r="F32" s="35" t="str">
        <f ca="1">IF(OR(OR($A32="",$B32=""),AND($C32&lt;&gt;"",$D32&lt;&gt;"")),"",VLOOKUP(A32,IF({1,0},INDIRECT("达修波得!$"&amp;$E$1&amp;"$2:$"&amp;$E$1&amp;"$8"),达修波得!$A$2:$A$8),2,FALSE))</f>
        <v>爷</v>
      </c>
      <c r="G32" s="35" t="str">
        <f ca="1">IF(OR(OR($A32="",$B32=""),AND($C32&lt;&gt;"",$D32&lt;&gt;"")),"",VLOOKUP(B32,IF({1,0},INDIRECT("达修波得!$"&amp;$E$1&amp;"$2:$"&amp;$E$1&amp;"$8"),达修波得!$A$2:$A$8),2,FALSE))</f>
        <v>黑</v>
      </c>
      <c r="H32" s="35" t="str">
        <f t="shared" ca="1" si="0"/>
        <v>爷黑</v>
      </c>
    </row>
    <row r="33" spans="1:8">
      <c r="A33" t="s">
        <v>14</v>
      </c>
      <c r="B33" t="s">
        <v>37</v>
      </c>
      <c r="F33" s="35" t="str">
        <f ca="1">IF(OR(OR($A33="",$B33=""),AND($C33&lt;&gt;"",$D33&lt;&gt;"")),"",VLOOKUP(A33,IF({1,0},INDIRECT("达修波得!$"&amp;$E$1&amp;"$2:$"&amp;$E$1&amp;"$8"),达修波得!$A$2:$A$8),2,FALSE))</f>
        <v>宇</v>
      </c>
      <c r="G33" s="35" t="str">
        <f ca="1">IF(OR(OR($A33="",$B33=""),AND($C33&lt;&gt;"",$D33&lt;&gt;"")),"",VLOOKUP(B33,IF({1,0},INDIRECT("达修波得!$"&amp;$E$1&amp;"$2:$"&amp;$E$1&amp;"$8"),达修波得!$A$2:$A$8),2,FALSE))</f>
        <v>举</v>
      </c>
      <c r="H33" s="35" t="str">
        <f t="shared" ca="1" si="0"/>
        <v>宇举</v>
      </c>
    </row>
    <row r="34" spans="1:8">
      <c r="B34" t="s">
        <v>83</v>
      </c>
      <c r="F34" s="35" t="str">
        <f ca="1">IF(OR(OR($A34="",$B34=""),AND($C34&lt;&gt;"",$D34&lt;&gt;"")),"",VLOOKUP(A34,IF({1,0},INDIRECT("达修波得!$"&amp;$E$1&amp;"$2:$"&amp;$E$1&amp;"$8"),达修波得!$A$2:$A$8),2,FALSE))</f>
        <v/>
      </c>
      <c r="G34" s="35" t="str">
        <f ca="1">IF(OR(OR($A34="",$B34=""),AND($C34&lt;&gt;"",$D34&lt;&gt;"")),"",VLOOKUP(B34,IF({1,0},INDIRECT("达修波得!$"&amp;$E$1&amp;"$2:$"&amp;$E$1&amp;"$8"),达修波得!$A$2:$A$8),2,FALSE))</f>
        <v/>
      </c>
      <c r="H34" s="35" t="str">
        <f t="shared" ca="1" si="0"/>
        <v/>
      </c>
    </row>
    <row r="35" spans="1:8">
      <c r="A35" t="s">
        <v>101</v>
      </c>
      <c r="B35" t="s">
        <v>100</v>
      </c>
      <c r="F35" s="35" t="str">
        <f ca="1">IF(OR(OR($A35="",$B35=""),AND($C35&lt;&gt;"",$D35&lt;&gt;"")),"",VLOOKUP(A35,IF({1,0},INDIRECT("达修波得!$"&amp;$E$1&amp;"$2:$"&amp;$E$1&amp;"$8"),达修波得!$A$2:$A$8),2,FALSE))</f>
        <v>贝</v>
      </c>
      <c r="G35" s="35" t="str">
        <f ca="1">IF(OR(OR($A35="",$B35=""),AND($C35&lt;&gt;"",$D35&lt;&gt;"")),"",VLOOKUP(B35,IF({1,0},INDIRECT("达修波得!$"&amp;$E$1&amp;"$2:$"&amp;$E$1&amp;"$8"),达修波得!$A$2:$A$8),2,FALSE))</f>
        <v>磊</v>
      </c>
      <c r="H35" s="35" t="str">
        <f t="shared" ca="1" si="0"/>
        <v>贝磊</v>
      </c>
    </row>
    <row r="36" spans="1:8">
      <c r="A36" s="4" t="s">
        <v>30</v>
      </c>
      <c r="F36" s="35" t="str">
        <f ca="1">IF(OR(OR($A36="",$B36=""),AND($C36&lt;&gt;"",$D36&lt;&gt;"")),"",VLOOKUP(A36,IF({1,0},INDIRECT("达修波得!$"&amp;$E$1&amp;"$2:$"&amp;$E$1&amp;"$8"),达修波得!$A$2:$A$8),2,FALSE))</f>
        <v/>
      </c>
      <c r="G36" s="35" t="str">
        <f ca="1">IF(OR(OR($A36="",$B36=""),AND($C36&lt;&gt;"",$D36&lt;&gt;"")),"",VLOOKUP(B36,IF({1,0},INDIRECT("达修波得!$"&amp;$E$1&amp;"$2:$"&amp;$E$1&amp;"$8"),达修波得!$A$2:$A$8),2,FALSE))</f>
        <v/>
      </c>
      <c r="H36" s="35" t="str">
        <f t="shared" ca="1" si="0"/>
        <v/>
      </c>
    </row>
    <row r="37" spans="1:8">
      <c r="A37" t="s">
        <v>37</v>
      </c>
      <c r="B37" t="s">
        <v>86</v>
      </c>
      <c r="F37" s="35" t="str">
        <f ca="1">IF(OR(OR($A37="",$B37=""),AND($C37&lt;&gt;"",$D37&lt;&gt;"")),"",VLOOKUP(A37,IF({1,0},INDIRECT("达修波得!$"&amp;$E$1&amp;"$2:$"&amp;$E$1&amp;"$8"),达修波得!$A$2:$A$8),2,FALSE))</f>
        <v>举</v>
      </c>
      <c r="G37" s="35" t="str">
        <f ca="1">IF(OR(OR($A37="",$B37=""),AND($C37&lt;&gt;"",$D37&lt;&gt;"")),"",VLOOKUP(B37,IF({1,0},INDIRECT("达修波得!$"&amp;$E$1&amp;"$2:$"&amp;$E$1&amp;"$8"),达修波得!$A$2:$A$8),2,FALSE))</f>
        <v>爷</v>
      </c>
      <c r="H37" s="35" t="str">
        <f t="shared" ca="1" si="0"/>
        <v>举爷</v>
      </c>
    </row>
    <row r="38" spans="1:8">
      <c r="A38" t="s">
        <v>83</v>
      </c>
      <c r="B38" t="s">
        <v>88</v>
      </c>
      <c r="F38" s="35" t="str">
        <f ca="1">IF(OR(OR($A38="",$B38=""),AND($C38&lt;&gt;"",$D38&lt;&gt;"")),"",VLOOKUP(A38,IF({1,0},INDIRECT("达修波得!$"&amp;$E$1&amp;"$2:$"&amp;$E$1&amp;"$8"),达修波得!$A$2:$A$8),2,FALSE))</f>
        <v>二</v>
      </c>
      <c r="G38" s="35" t="str">
        <f ca="1">IF(OR(OR($A38="",$B38=""),AND($C38&lt;&gt;"",$D38&lt;&gt;"")),"",VLOOKUP(B38,IF({1,0},INDIRECT("达修波得!$"&amp;$E$1&amp;"$2:$"&amp;$E$1&amp;"$8"),达修波得!$A$2:$A$8),2,FALSE))</f>
        <v>黑</v>
      </c>
      <c r="H38" s="35" t="str">
        <f t="shared" ca="1" si="0"/>
        <v>二黑</v>
      </c>
    </row>
    <row r="39" spans="1:8">
      <c r="A39" t="s">
        <v>100</v>
      </c>
      <c r="B39" t="s">
        <v>14</v>
      </c>
      <c r="F39" s="35" t="str">
        <f ca="1">IF(OR(OR($A39="",$B39=""),AND($C39&lt;&gt;"",$D39&lt;&gt;"")),"",VLOOKUP(A39,IF({1,0},INDIRECT("达修波得!$"&amp;$E$1&amp;"$2:$"&amp;$E$1&amp;"$8"),达修波得!$A$2:$A$8),2,FALSE))</f>
        <v>磊</v>
      </c>
      <c r="G39" s="35" t="str">
        <f ca="1">IF(OR(OR($A39="",$B39=""),AND($C39&lt;&gt;"",$D39&lt;&gt;"")),"",VLOOKUP(B39,IF({1,0},INDIRECT("达修波得!$"&amp;$E$1&amp;"$2:$"&amp;$E$1&amp;"$8"),达修波得!$A$2:$A$8),2,FALSE))</f>
        <v>宇</v>
      </c>
      <c r="H39" s="35" t="str">
        <f t="shared" ca="1" si="0"/>
        <v>磊宇</v>
      </c>
    </row>
    <row r="40" spans="1:8">
      <c r="A40" t="s">
        <v>101</v>
      </c>
      <c r="F40" s="35" t="str">
        <f ca="1">IF(OR(OR($A40="",$B40=""),AND($C40&lt;&gt;"",$D40&lt;&gt;"")),"",VLOOKUP(A40,IF({1,0},INDIRECT("达修波得!$"&amp;$E$1&amp;"$2:$"&amp;$E$1&amp;"$8"),达修波得!$A$2:$A$8),2,FALSE))</f>
        <v/>
      </c>
      <c r="G40" s="35" t="str">
        <f ca="1">IF(OR(OR($A40="",$B40=""),AND($C40&lt;&gt;"",$D40&lt;&gt;"")),"",VLOOKUP(B40,IF({1,0},INDIRECT("达修波得!$"&amp;$E$1&amp;"$2:$"&amp;$E$1&amp;"$8"),达修波得!$A$2:$A$8),2,FALSE))</f>
        <v/>
      </c>
      <c r="H40" s="35" t="str">
        <f t="shared" ca="1" si="0"/>
        <v/>
      </c>
    </row>
    <row r="41" spans="1:8">
      <c r="A41" s="4" t="s">
        <v>31</v>
      </c>
      <c r="F41" s="35" t="str">
        <f ca="1">IF(OR(OR($A41="",$B41=""),AND($C41&lt;&gt;"",$D41&lt;&gt;"")),"",VLOOKUP(A41,IF({1,0},INDIRECT("达修波得!$"&amp;$E$1&amp;"$2:$"&amp;$E$1&amp;"$8"),达修波得!$A$2:$A$8),2,FALSE))</f>
        <v/>
      </c>
      <c r="G41" s="35" t="str">
        <f ca="1">IF(OR(OR($A41="",$B41=""),AND($C41&lt;&gt;"",$D41&lt;&gt;"")),"",VLOOKUP(B41,IF({1,0},INDIRECT("达修波得!$"&amp;$E$1&amp;"$2:$"&amp;$E$1&amp;"$8"),达修波得!$A$2:$A$8),2,FALSE))</f>
        <v/>
      </c>
      <c r="H41" s="35" t="str">
        <f t="shared" ca="1" si="0"/>
        <v/>
      </c>
    </row>
    <row r="42" spans="1:8">
      <c r="A42" t="s">
        <v>83</v>
      </c>
      <c r="B42" t="s">
        <v>86</v>
      </c>
      <c r="F42" s="35" t="str">
        <f ca="1">IF(OR(OR($A42="",$B42=""),AND($C42&lt;&gt;"",$D42&lt;&gt;"")),"",VLOOKUP(A42,IF({1,0},INDIRECT("达修波得!$"&amp;$E$1&amp;"$2:$"&amp;$E$1&amp;"$8"),达修波得!$A$2:$A$8),2,FALSE))</f>
        <v>二</v>
      </c>
      <c r="G42" s="35" t="str">
        <f ca="1">IF(OR(OR($A42="",$B42=""),AND($C42&lt;&gt;"",$D42&lt;&gt;"")),"",VLOOKUP(B42,IF({1,0},INDIRECT("达修波得!$"&amp;$E$1&amp;"$2:$"&amp;$E$1&amp;"$8"),达修波得!$A$2:$A$8),2,FALSE))</f>
        <v>爷</v>
      </c>
      <c r="H42" s="35" t="str">
        <f t="shared" ca="1" si="0"/>
        <v>二爷</v>
      </c>
    </row>
    <row r="43" spans="1:8">
      <c r="A43" t="s">
        <v>100</v>
      </c>
      <c r="B43" t="s">
        <v>37</v>
      </c>
      <c r="F43" s="35" t="str">
        <f ca="1">IF(OR(OR($A43="",$B43=""),AND($C43&lt;&gt;"",$D43&lt;&gt;"")),"",VLOOKUP(A43,IF({1,0},INDIRECT("达修波得!$"&amp;$E$1&amp;"$2:$"&amp;$E$1&amp;"$8"),达修波得!$A$2:$A$8),2,FALSE))</f>
        <v>磊</v>
      </c>
      <c r="G43" s="35" t="str">
        <f ca="1">IF(OR(OR($A43="",$B43=""),AND($C43&lt;&gt;"",$D43&lt;&gt;"")),"",VLOOKUP(B43,IF({1,0},INDIRECT("达修波得!$"&amp;$E$1&amp;"$2:$"&amp;$E$1&amp;"$8"),达修波得!$A$2:$A$8),2,FALSE))</f>
        <v>举</v>
      </c>
      <c r="H43" s="35" t="str">
        <f t="shared" ca="1" si="0"/>
        <v>磊举</v>
      </c>
    </row>
    <row r="44" spans="1:8">
      <c r="A44" t="s">
        <v>101</v>
      </c>
      <c r="B44" t="s">
        <v>88</v>
      </c>
      <c r="F44" s="35" t="str">
        <f ca="1">IF(OR(OR($A44="",$B44=""),AND($C44&lt;&gt;"",$D44&lt;&gt;"")),"",VLOOKUP(A44,IF({1,0},INDIRECT("达修波得!$"&amp;$E$1&amp;"$2:$"&amp;$E$1&amp;"$8"),达修波得!$A$2:$A$8),2,FALSE))</f>
        <v>贝</v>
      </c>
      <c r="G44" s="35" t="str">
        <f ca="1">IF(OR(OR($A44="",$B44=""),AND($C44&lt;&gt;"",$D44&lt;&gt;"")),"",VLOOKUP(B44,IF({1,0},INDIRECT("达修波得!$"&amp;$E$1&amp;"$2:$"&amp;$E$1&amp;"$8"),达修波得!$A$2:$A$8),2,FALSE))</f>
        <v>黑</v>
      </c>
      <c r="H44" s="35" t="str">
        <f t="shared" ca="1" si="0"/>
        <v>贝黑</v>
      </c>
    </row>
    <row r="45" spans="1:8">
      <c r="B45" t="s">
        <v>14</v>
      </c>
      <c r="F45" s="35" t="str">
        <f ca="1">IF(OR(OR($A45="",$B45=""),AND($C45&lt;&gt;"",$D45&lt;&gt;"")),"",VLOOKUP(A45,IF({1,0},INDIRECT("达修波得!$"&amp;$E$1&amp;"$2:$"&amp;$E$1&amp;"$8"),达修波得!$A$2:$A$8),2,FALSE))</f>
        <v/>
      </c>
      <c r="G45" s="35" t="str">
        <f ca="1">IF(OR(OR($A45="",$B45=""),AND($C45&lt;&gt;"",$D45&lt;&gt;"")),"",VLOOKUP(B45,IF({1,0},INDIRECT("达修波得!$"&amp;$E$1&amp;"$2:$"&amp;$E$1&amp;"$8"),达修波得!$A$2:$A$8),2,FALSE))</f>
        <v/>
      </c>
      <c r="H45" s="35" t="str">
        <f t="shared" ca="1" si="0"/>
        <v/>
      </c>
    </row>
    <row r="46" spans="1:8">
      <c r="A46" s="4" t="s">
        <v>32</v>
      </c>
      <c r="F46" s="35" t="str">
        <f ca="1">IF(OR(OR($A46="",$B46=""),AND($C46&lt;&gt;"",$D46&lt;&gt;"")),"",VLOOKUP(A46,IF({1,0},INDIRECT("达修波得!$"&amp;$E$1&amp;"$2:$"&amp;$E$1&amp;"$8"),达修波得!$A$2:$A$8),2,FALSE))</f>
        <v/>
      </c>
      <c r="G46" s="35" t="str">
        <f ca="1">IF(OR(OR($A46="",$B46=""),AND($C46&lt;&gt;"",$D46&lt;&gt;"")),"",VLOOKUP(B46,IF({1,0},INDIRECT("达修波得!$"&amp;$E$1&amp;"$2:$"&amp;$E$1&amp;"$8"),达修波得!$A$2:$A$8),2,FALSE))</f>
        <v/>
      </c>
      <c r="H46" s="35" t="str">
        <f t="shared" ca="1" si="0"/>
        <v/>
      </c>
    </row>
    <row r="47" spans="1:8">
      <c r="A47" t="s">
        <v>100</v>
      </c>
      <c r="B47" t="s">
        <v>86</v>
      </c>
      <c r="F47" s="35" t="str">
        <f ca="1">IF(OR(OR($A47="",$B47=""),AND($C47&lt;&gt;"",$D47&lt;&gt;"")),"",VLOOKUP(A47,IF({1,0},INDIRECT("达修波得!$"&amp;$E$1&amp;"$2:$"&amp;$E$1&amp;"$8"),达修波得!$A$2:$A$8),2,FALSE))</f>
        <v>磊</v>
      </c>
      <c r="G47" s="35" t="str">
        <f ca="1">IF(OR(OR($A47="",$B47=""),AND($C47&lt;&gt;"",$D47&lt;&gt;"")),"",VLOOKUP(B47,IF({1,0},INDIRECT("达修波得!$"&amp;$E$1&amp;"$2:$"&amp;$E$1&amp;"$8"),达修波得!$A$2:$A$8),2,FALSE))</f>
        <v>爷</v>
      </c>
      <c r="H47" s="35" t="str">
        <f t="shared" ca="1" si="0"/>
        <v>磊爷</v>
      </c>
    </row>
    <row r="48" spans="1:8">
      <c r="A48" t="s">
        <v>101</v>
      </c>
      <c r="B48" t="s">
        <v>83</v>
      </c>
      <c r="F48" s="35" t="str">
        <f ca="1">IF(OR(OR($A48="",$B48=""),AND($C48&lt;&gt;"",$D48&lt;&gt;"")),"",VLOOKUP(A48,IF({1,0},INDIRECT("达修波得!$"&amp;$E$1&amp;"$2:$"&amp;$E$1&amp;"$8"),达修波得!$A$2:$A$8),2,FALSE))</f>
        <v>贝</v>
      </c>
      <c r="G48" s="35" t="str">
        <f ca="1">IF(OR(OR($A48="",$B48=""),AND($C48&lt;&gt;"",$D48&lt;&gt;"")),"",VLOOKUP(B48,IF({1,0},INDIRECT("达修波得!$"&amp;$E$1&amp;"$2:$"&amp;$E$1&amp;"$8"),达修波得!$A$2:$A$8),2,FALSE))</f>
        <v>二</v>
      </c>
      <c r="H48" s="35" t="str">
        <f t="shared" ca="1" si="0"/>
        <v>贝二</v>
      </c>
    </row>
    <row r="49" spans="1:8">
      <c r="B49" t="s">
        <v>37</v>
      </c>
      <c r="F49" s="35" t="str">
        <f ca="1">IF(OR(OR($A49="",$B49=""),AND($C49&lt;&gt;"",$D49&lt;&gt;"")),"",VLOOKUP(A49,IF({1,0},INDIRECT("达修波得!$"&amp;$E$1&amp;"$2:$"&amp;$E$1&amp;"$8"),达修波得!$A$2:$A$8),2,FALSE))</f>
        <v/>
      </c>
      <c r="G49" s="35" t="str">
        <f ca="1">IF(OR(OR($A49="",$B49=""),AND($C49&lt;&gt;"",$D49&lt;&gt;"")),"",VLOOKUP(B49,IF({1,0},INDIRECT("达修波得!$"&amp;$E$1&amp;"$2:$"&amp;$E$1&amp;"$8"),达修波得!$A$2:$A$8),2,FALSE))</f>
        <v/>
      </c>
      <c r="H49" s="35" t="str">
        <f t="shared" ca="1" si="0"/>
        <v/>
      </c>
    </row>
    <row r="50" spans="1:8">
      <c r="A50" t="s">
        <v>14</v>
      </c>
      <c r="B50" t="s">
        <v>88</v>
      </c>
      <c r="F50" s="35" t="str">
        <f ca="1">IF(OR(OR($A50="",$B50=""),AND($C50&lt;&gt;"",$D50&lt;&gt;"")),"",VLOOKUP(A50,IF({1,0},INDIRECT("达修波得!$"&amp;$E$1&amp;"$2:$"&amp;$E$1&amp;"$8"),达修波得!$A$2:$A$8),2,FALSE))</f>
        <v>宇</v>
      </c>
      <c r="G50" s="35" t="str">
        <f ca="1">IF(OR(OR($A50="",$B50=""),AND($C50&lt;&gt;"",$D50&lt;&gt;"")),"",VLOOKUP(B50,IF({1,0},INDIRECT("达修波得!$"&amp;$E$1&amp;"$2:$"&amp;$E$1&amp;"$8"),达修波得!$A$2:$A$8),2,FALSE))</f>
        <v>黑</v>
      </c>
      <c r="H50" s="35" t="str">
        <f t="shared" ca="1" si="0"/>
        <v>宇黑</v>
      </c>
    </row>
    <row r="51" spans="1:8">
      <c r="A51" s="4" t="s">
        <v>33</v>
      </c>
      <c r="F51" s="35" t="str">
        <f ca="1">IF(OR(OR($A51="",$B51=""),AND($C51&lt;&gt;"",$D51&lt;&gt;"")),"",VLOOKUP(A51,IF({1,0},INDIRECT("达修波得!$"&amp;$E$1&amp;"$2:$"&amp;$E$1&amp;"$8"),达修波得!$A$2:$A$8),2,FALSE))</f>
        <v/>
      </c>
      <c r="G51" s="35" t="str">
        <f ca="1">IF(OR(OR($A51="",$B51=""),AND($C51&lt;&gt;"",$D51&lt;&gt;"")),"",VLOOKUP(B51,IF({1,0},INDIRECT("达修波得!$"&amp;$E$1&amp;"$2:$"&amp;$E$1&amp;"$8"),达修波得!$A$2:$A$8),2,FALSE))</f>
        <v/>
      </c>
      <c r="H51" s="35" t="str">
        <f t="shared" ca="1" si="0"/>
        <v/>
      </c>
    </row>
    <row r="52" spans="1:8">
      <c r="A52" t="s">
        <v>101</v>
      </c>
      <c r="B52" t="s">
        <v>86</v>
      </c>
      <c r="F52" s="35" t="str">
        <f ca="1">IF(OR(OR($A52="",$B52=""),AND($C52&lt;&gt;"",$D52&lt;&gt;"")),"",VLOOKUP(A52,IF({1,0},INDIRECT("达修波得!$"&amp;$E$1&amp;"$2:$"&amp;$E$1&amp;"$8"),达修波得!$A$2:$A$8),2,FALSE))</f>
        <v>贝</v>
      </c>
      <c r="G52" s="35" t="str">
        <f ca="1">IF(OR(OR($A52="",$B52=""),AND($C52&lt;&gt;"",$D52&lt;&gt;"")),"",VLOOKUP(B52,IF({1,0},INDIRECT("达修波得!$"&amp;$E$1&amp;"$2:$"&amp;$E$1&amp;"$8"),达修波得!$A$2:$A$8),2,FALSE))</f>
        <v>爷</v>
      </c>
      <c r="H52" s="35" t="str">
        <f t="shared" ca="1" si="0"/>
        <v>贝爷</v>
      </c>
    </row>
    <row r="53" spans="1:8">
      <c r="B53" t="s">
        <v>100</v>
      </c>
      <c r="F53" s="35" t="str">
        <f ca="1">IF(OR(OR($A53="",$B53=""),AND($C53&lt;&gt;"",$D53&lt;&gt;"")),"",VLOOKUP(A53,IF({1,0},INDIRECT("达修波得!$"&amp;$E$1&amp;"$2:$"&amp;$E$1&amp;"$8"),达修波得!$A$2:$A$8),2,FALSE))</f>
        <v/>
      </c>
      <c r="G53" s="35" t="str">
        <f ca="1">IF(OR(OR($A53="",$B53=""),AND($C53&lt;&gt;"",$D53&lt;&gt;"")),"",VLOOKUP(B53,IF({1,0},INDIRECT("达修波得!$"&amp;$E$1&amp;"$2:$"&amp;$E$1&amp;"$8"),达修波得!$A$2:$A$8),2,FALSE))</f>
        <v/>
      </c>
      <c r="H53" s="35" t="str">
        <f t="shared" ca="1" si="0"/>
        <v/>
      </c>
    </row>
    <row r="54" spans="1:8">
      <c r="A54" t="s">
        <v>14</v>
      </c>
      <c r="B54" t="s">
        <v>83</v>
      </c>
      <c r="F54" s="35" t="str">
        <f ca="1">IF(OR(OR($A54="",$B54=""),AND($C54&lt;&gt;"",$D54&lt;&gt;"")),"",VLOOKUP(A54,IF({1,0},INDIRECT("达修波得!$"&amp;$E$1&amp;"$2:$"&amp;$E$1&amp;"$8"),达修波得!$A$2:$A$8),2,FALSE))</f>
        <v>宇</v>
      </c>
      <c r="G54" s="35" t="str">
        <f ca="1">IF(OR(OR($A54="",$B54=""),AND($C54&lt;&gt;"",$D54&lt;&gt;"")),"",VLOOKUP(B54,IF({1,0},INDIRECT("达修波得!$"&amp;$E$1&amp;"$2:$"&amp;$E$1&amp;"$8"),达修波得!$A$2:$A$8),2,FALSE))</f>
        <v>二</v>
      </c>
      <c r="H54" s="35" t="str">
        <f t="shared" ca="1" si="0"/>
        <v>宇二</v>
      </c>
    </row>
    <row r="55" spans="1:8">
      <c r="A55" t="s">
        <v>88</v>
      </c>
      <c r="B55" t="s">
        <v>37</v>
      </c>
      <c r="F55" s="35" t="str">
        <f ca="1">IF(OR(OR($A55="",$B55=""),AND($C55&lt;&gt;"",$D55&lt;&gt;"")),"",VLOOKUP(A55,IF({1,0},INDIRECT("达修波得!$"&amp;$E$1&amp;"$2:$"&amp;$E$1&amp;"$8"),达修波得!$A$2:$A$8),2,FALSE))</f>
        <v>黑</v>
      </c>
      <c r="G55" s="35" t="str">
        <f ca="1">IF(OR(OR($A55="",$B55=""),AND($C55&lt;&gt;"",$D55&lt;&gt;"")),"",VLOOKUP(B55,IF({1,0},INDIRECT("达修波得!$"&amp;$E$1&amp;"$2:$"&amp;$E$1&amp;"$8"),达修波得!$A$2:$A$8),2,FALSE))</f>
        <v>举</v>
      </c>
      <c r="H55" s="35" t="str">
        <f t="shared" ca="1" si="0"/>
        <v>黑举</v>
      </c>
    </row>
    <row r="56" spans="1:8">
      <c r="A56" s="4" t="s">
        <v>34</v>
      </c>
      <c r="F56" s="35" t="str">
        <f ca="1">IF(OR(OR($A56="",$B56=""),AND($C56&lt;&gt;"",$D56&lt;&gt;"")),"",VLOOKUP(A56,IF({1,0},INDIRECT("达修波得!$"&amp;$E$1&amp;"$2:$"&amp;$E$1&amp;"$8"),达修波得!$A$2:$A$8),2,FALSE))</f>
        <v/>
      </c>
      <c r="G56" s="35" t="str">
        <f ca="1">IF(OR(OR($A56="",$B56=""),AND($C56&lt;&gt;"",$D56&lt;&gt;"")),"",VLOOKUP(B56,IF({1,0},INDIRECT("达修波得!$"&amp;$E$1&amp;"$2:$"&amp;$E$1&amp;"$8"),达修波得!$A$2:$A$8),2,FALSE))</f>
        <v/>
      </c>
      <c r="H56" s="35" t="str">
        <f t="shared" ca="1" si="0"/>
        <v/>
      </c>
    </row>
    <row r="57" spans="1:8">
      <c r="B57" t="s">
        <v>86</v>
      </c>
      <c r="F57" s="35" t="str">
        <f ca="1">IF(OR(OR($A57="",$B57=""),AND($C57&lt;&gt;"",$D57&lt;&gt;"")),"",VLOOKUP(A57,IF({1,0},INDIRECT("达修波得!$"&amp;$E$1&amp;"$2:$"&amp;$E$1&amp;"$8"),达修波得!$A$2:$A$8),2,FALSE))</f>
        <v/>
      </c>
      <c r="G57" s="35" t="str">
        <f ca="1">IF(OR(OR($A57="",$B57=""),AND($C57&lt;&gt;"",$D57&lt;&gt;"")),"",VLOOKUP(B57,IF({1,0},INDIRECT("达修波得!$"&amp;$E$1&amp;"$2:$"&amp;$E$1&amp;"$8"),达修波得!$A$2:$A$8),2,FALSE))</f>
        <v/>
      </c>
      <c r="H57" s="35" t="str">
        <f t="shared" ca="1" si="0"/>
        <v/>
      </c>
    </row>
    <row r="58" spans="1:8">
      <c r="A58" t="s">
        <v>14</v>
      </c>
      <c r="B58" t="s">
        <v>101</v>
      </c>
      <c r="F58" s="35" t="str">
        <f ca="1">IF(OR(OR($A58="",$B58=""),AND($C58&lt;&gt;"",$D58&lt;&gt;"")),"",VLOOKUP(A58,IF({1,0},INDIRECT("达修波得!$"&amp;$E$1&amp;"$2:$"&amp;$E$1&amp;"$8"),达修波得!$A$2:$A$8),2,FALSE))</f>
        <v>宇</v>
      </c>
      <c r="G58" s="35" t="str">
        <f ca="1">IF(OR(OR($A58="",$B58=""),AND($C58&lt;&gt;"",$D58&lt;&gt;"")),"",VLOOKUP(B58,IF({1,0},INDIRECT("达修波得!$"&amp;$E$1&amp;"$2:$"&amp;$E$1&amp;"$8"),达修波得!$A$2:$A$8),2,FALSE))</f>
        <v>贝</v>
      </c>
      <c r="H58" s="35" t="str">
        <f t="shared" ca="1" si="0"/>
        <v>宇贝</v>
      </c>
    </row>
    <row r="59" spans="1:8">
      <c r="A59" t="s">
        <v>88</v>
      </c>
      <c r="B59" t="s">
        <v>100</v>
      </c>
      <c r="F59" s="35" t="str">
        <f ca="1">IF(OR(OR($A59="",$B59=""),AND($C59&lt;&gt;"",$D59&lt;&gt;"")),"",VLOOKUP(A59,IF({1,0},INDIRECT("达修波得!$"&amp;$E$1&amp;"$2:$"&amp;$E$1&amp;"$8"),达修波得!$A$2:$A$8),2,FALSE))</f>
        <v>黑</v>
      </c>
      <c r="G59" s="35" t="str">
        <f ca="1">IF(OR(OR($A59="",$B59=""),AND($C59&lt;&gt;"",$D59&lt;&gt;"")),"",VLOOKUP(B59,IF({1,0},INDIRECT("达修波得!$"&amp;$E$1&amp;"$2:$"&amp;$E$1&amp;"$8"),达修波得!$A$2:$A$8),2,FALSE))</f>
        <v>磊</v>
      </c>
      <c r="H59" s="35" t="str">
        <f t="shared" ca="1" si="0"/>
        <v>黑磊</v>
      </c>
    </row>
    <row r="60" spans="1:8">
      <c r="A60" t="s">
        <v>37</v>
      </c>
      <c r="B60" t="s">
        <v>83</v>
      </c>
      <c r="F60" s="35" t="str">
        <f ca="1">IF(OR(OR($A60="",$B60=""),AND($C60&lt;&gt;"",$D60&lt;&gt;"")),"",VLOOKUP(A60,IF({1,0},INDIRECT("达修波得!$"&amp;$E$1&amp;"$2:$"&amp;$E$1&amp;"$8"),达修波得!$A$2:$A$8),2,FALSE))</f>
        <v>举</v>
      </c>
      <c r="G60" s="35" t="str">
        <f ca="1">IF(OR(OR($A60="",$B60=""),AND($C60&lt;&gt;"",$D60&lt;&gt;"")),"",VLOOKUP(B60,IF({1,0},INDIRECT("达修波得!$"&amp;$E$1&amp;"$2:$"&amp;$E$1&amp;"$8"),达修波得!$A$2:$A$8),2,FALSE))</f>
        <v>二</v>
      </c>
      <c r="H60" s="35" t="str">
        <f t="shared" ca="1" si="0"/>
        <v>举二</v>
      </c>
    </row>
    <row r="61" spans="1:8">
      <c r="A61" s="4" t="s">
        <v>35</v>
      </c>
      <c r="F61" s="35" t="str">
        <f ca="1">IF(OR(OR($A61="",$B61=""),AND($C61&lt;&gt;"",$D61&lt;&gt;"")),"",VLOOKUP(A61,IF({1,0},INDIRECT("达修波得!$"&amp;$E$1&amp;"$2:$"&amp;$E$1&amp;"$8"),达修波得!$A$2:$A$8),2,FALSE))</f>
        <v/>
      </c>
      <c r="G61" s="35" t="str">
        <f ca="1">IF(OR(OR($A61="",$B61=""),AND($C61&lt;&gt;"",$D61&lt;&gt;"")),"",VLOOKUP(B61,IF({1,0},INDIRECT("达修波得!$"&amp;$E$1&amp;"$2:$"&amp;$E$1&amp;"$8"),达修波得!$A$2:$A$8),2,FALSE))</f>
        <v/>
      </c>
      <c r="H61" s="35" t="str">
        <f t="shared" ca="1" si="0"/>
        <v/>
      </c>
    </row>
    <row r="62" spans="1:8">
      <c r="A62" t="s">
        <v>14</v>
      </c>
      <c r="B62" t="s">
        <v>86</v>
      </c>
      <c r="F62" s="35" t="str">
        <f ca="1">IF(OR(OR($A62="",$B62=""),AND($C62&lt;&gt;"",$D62&lt;&gt;"")),"",VLOOKUP(A62,IF({1,0},INDIRECT("达修波得!$"&amp;$E$1&amp;"$2:$"&amp;$E$1&amp;"$8"),达修波得!$A$2:$A$8),2,FALSE))</f>
        <v>宇</v>
      </c>
      <c r="G62" s="35" t="str">
        <f ca="1">IF(OR(OR($A62="",$B62=""),AND($C62&lt;&gt;"",$D62&lt;&gt;"")),"",VLOOKUP(B62,IF({1,0},INDIRECT("达修波得!$"&amp;$E$1&amp;"$2:$"&amp;$E$1&amp;"$8"),达修波得!$A$2:$A$8),2,FALSE))</f>
        <v>爷</v>
      </c>
      <c r="H62" s="35" t="str">
        <f t="shared" ca="1" si="0"/>
        <v>宇爷</v>
      </c>
    </row>
    <row r="63" spans="1:8">
      <c r="A63" t="s">
        <v>88</v>
      </c>
      <c r="F63" s="35" t="str">
        <f ca="1">IF(OR(OR($A63="",$B63=""),AND($C63&lt;&gt;"",$D63&lt;&gt;"")),"",VLOOKUP(A63,IF({1,0},INDIRECT("达修波得!$"&amp;$E$1&amp;"$2:$"&amp;$E$1&amp;"$8"),达修波得!$A$2:$A$8),2,FALSE))</f>
        <v/>
      </c>
      <c r="G63" s="35" t="str">
        <f ca="1">IF(OR(OR($A63="",$B63=""),AND($C63&lt;&gt;"",$D63&lt;&gt;"")),"",VLOOKUP(B63,IF({1,0},INDIRECT("达修波得!$"&amp;$E$1&amp;"$2:$"&amp;$E$1&amp;"$8"),达修波得!$A$2:$A$8),2,FALSE))</f>
        <v/>
      </c>
      <c r="H63" s="35" t="str">
        <f t="shared" ca="1" si="0"/>
        <v/>
      </c>
    </row>
    <row r="64" spans="1:8">
      <c r="A64" t="s">
        <v>37</v>
      </c>
      <c r="B64" t="s">
        <v>101</v>
      </c>
      <c r="F64" s="35" t="str">
        <f ca="1">IF(OR(OR($A64="",$B64=""),AND($C64&lt;&gt;"",$D64&lt;&gt;"")),"",VLOOKUP(A64,IF({1,0},INDIRECT("达修波得!$"&amp;$E$1&amp;"$2:$"&amp;$E$1&amp;"$8"),达修波得!$A$2:$A$8),2,FALSE))</f>
        <v>举</v>
      </c>
      <c r="G64" s="35" t="str">
        <f ca="1">IF(OR(OR($A64="",$B64=""),AND($C64&lt;&gt;"",$D64&lt;&gt;"")),"",VLOOKUP(B64,IF({1,0},INDIRECT("达修波得!$"&amp;$E$1&amp;"$2:$"&amp;$E$1&amp;"$8"),达修波得!$A$2:$A$8),2,FALSE))</f>
        <v>贝</v>
      </c>
      <c r="H64" s="35" t="str">
        <f t="shared" ca="1" si="0"/>
        <v>举贝</v>
      </c>
    </row>
    <row r="65" spans="1:8">
      <c r="A65" t="s">
        <v>83</v>
      </c>
      <c r="B65" t="s">
        <v>100</v>
      </c>
      <c r="F65" s="35" t="str">
        <f ca="1">IF(OR(OR($A65="",$B65=""),AND($C65&lt;&gt;"",$D65&lt;&gt;"")),"",VLOOKUP(A65,IF({1,0},INDIRECT("达修波得!$"&amp;$E$1&amp;"$2:$"&amp;$E$1&amp;"$8"),达修波得!$A$2:$A$8),2,FALSE))</f>
        <v>二</v>
      </c>
      <c r="G65" s="35" t="str">
        <f ca="1">IF(OR(OR($A65="",$B65=""),AND($C65&lt;&gt;"",$D65&lt;&gt;"")),"",VLOOKUP(B65,IF({1,0},INDIRECT("达修波得!$"&amp;$E$1&amp;"$2:$"&amp;$E$1&amp;"$8"),达修波得!$A$2:$A$8),2,FALSE))</f>
        <v>磊</v>
      </c>
      <c r="H65" s="35" t="str">
        <f t="shared" ca="1" si="0"/>
        <v>二磊</v>
      </c>
    </row>
    <row r="66" spans="1:8">
      <c r="A66" s="4" t="s">
        <v>36</v>
      </c>
      <c r="F66" s="35" t="str">
        <f ca="1">IF(OR(OR($A66="",$B66=""),AND($C66&lt;&gt;"",$D66&lt;&gt;"")),"",VLOOKUP(A66,IF({1,0},INDIRECT("达修波得!$"&amp;$E$1&amp;"$2:$"&amp;$E$1&amp;"$8"),达修波得!$A$2:$A$8),2,FALSE))</f>
        <v/>
      </c>
      <c r="G66" s="35" t="str">
        <f ca="1">IF(OR(OR($A66="",$B66=""),AND($C66&lt;&gt;"",$D66&lt;&gt;"")),"",VLOOKUP(B66,IF({1,0},INDIRECT("达修波得!$"&amp;$E$1&amp;"$2:$"&amp;$E$1&amp;"$8"),达修波得!$A$2:$A$8),2,FALSE))</f>
        <v/>
      </c>
      <c r="H66" s="35" t="str">
        <f t="shared" ref="H66:H72" ca="1" si="1">F66&amp;G66</f>
        <v/>
      </c>
    </row>
    <row r="67" spans="1:8">
      <c r="A67" t="s">
        <v>88</v>
      </c>
      <c r="B67" t="s">
        <v>86</v>
      </c>
      <c r="F67" s="35" t="str">
        <f ca="1">IF(OR(OR($A67="",$B67=""),AND($C67&lt;&gt;"",$D67&lt;&gt;"")),"",VLOOKUP(A67,IF({1,0},INDIRECT("达修波得!$"&amp;$E$1&amp;"$2:$"&amp;$E$1&amp;"$8"),达修波得!$A$2:$A$8),2,FALSE))</f>
        <v>黑</v>
      </c>
      <c r="G67" s="35" t="str">
        <f ca="1">IF(OR(OR($A67="",$B67=""),AND($C67&lt;&gt;"",$D67&lt;&gt;"")),"",VLOOKUP(B67,IF({1,0},INDIRECT("达修波得!$"&amp;$E$1&amp;"$2:$"&amp;$E$1&amp;"$8"),达修波得!$A$2:$A$8),2,FALSE))</f>
        <v>爷</v>
      </c>
      <c r="H67" s="35" t="str">
        <f t="shared" ca="1" si="1"/>
        <v>黑爷</v>
      </c>
    </row>
    <row r="68" spans="1:8">
      <c r="A68" t="s">
        <v>37</v>
      </c>
      <c r="B68" t="s">
        <v>14</v>
      </c>
      <c r="F68" s="35" t="str">
        <f ca="1">IF(OR(OR($A68="",$B68=""),AND($C68&lt;&gt;"",$D68&lt;&gt;"")),"",VLOOKUP(A68,IF({1,0},INDIRECT("达修波得!$"&amp;$E$1&amp;"$2:$"&amp;$E$1&amp;"$8"),达修波得!$A$2:$A$8),2,FALSE))</f>
        <v>举</v>
      </c>
      <c r="G68" s="35" t="str">
        <f ca="1">IF(OR(OR($A68="",$B68=""),AND($C68&lt;&gt;"",$D68&lt;&gt;"")),"",VLOOKUP(B68,IF({1,0},INDIRECT("达修波得!$"&amp;$E$1&amp;"$2:$"&amp;$E$1&amp;"$8"),达修波得!$A$2:$A$8),2,FALSE))</f>
        <v>宇</v>
      </c>
      <c r="H68" s="35" t="str">
        <f t="shared" ca="1" si="1"/>
        <v>举宇</v>
      </c>
    </row>
    <row r="69" spans="1:8">
      <c r="A69" t="s">
        <v>83</v>
      </c>
      <c r="F69" s="35" t="str">
        <f ca="1">IF(OR(OR($A69="",$B69=""),AND($C69&lt;&gt;"",$D69&lt;&gt;"")),"",VLOOKUP(A69,IF({1,0},INDIRECT("达修波得!$"&amp;$E$1&amp;"$2:$"&amp;$E$1&amp;"$8"),达修波得!$A$2:$A$8),2,FALSE))</f>
        <v/>
      </c>
      <c r="G69" s="35" t="str">
        <f ca="1">IF(OR(OR($A69="",$B69=""),AND($C69&lt;&gt;"",$D69&lt;&gt;"")),"",VLOOKUP(B69,IF({1,0},INDIRECT("达修波得!$"&amp;$E$1&amp;"$2:$"&amp;$E$1&amp;"$8"),达修波得!$A$2:$A$8),2,FALSE))</f>
        <v/>
      </c>
      <c r="H69" s="35" t="str">
        <f t="shared" ca="1" si="1"/>
        <v/>
      </c>
    </row>
    <row r="70" spans="1:8">
      <c r="A70" t="s">
        <v>100</v>
      </c>
      <c r="B70" t="s">
        <v>101</v>
      </c>
      <c r="F70" s="35" t="str">
        <f ca="1">IF(OR(OR($A70="",$B70=""),AND($C70&lt;&gt;"",$D70&lt;&gt;"")),"",VLOOKUP(A70,IF({1,0},INDIRECT("达修波得!$"&amp;$E$1&amp;"$2:$"&amp;$E$1&amp;"$8"),达修波得!$A$2:$A$8),2,FALSE))</f>
        <v>磊</v>
      </c>
      <c r="G70" s="35" t="str">
        <f ca="1">IF(OR(OR($A70="",$B70=""),AND($C70&lt;&gt;"",$D70&lt;&gt;"")),"",VLOOKUP(B70,IF({1,0},INDIRECT("达修波得!$"&amp;$E$1&amp;"$2:$"&amp;$E$1&amp;"$8"),达修波得!$A$2:$A$8),2,FALSE))</f>
        <v>贝</v>
      </c>
      <c r="H70" s="35" t="str">
        <f t="shared" ca="1" si="1"/>
        <v>磊贝</v>
      </c>
    </row>
    <row r="71" spans="1:8">
      <c r="F71" s="35" t="str">
        <f ca="1">IF(OR(OR($A71="",$B71=""),AND($C71&lt;&gt;"",$D71&lt;&gt;"")),"",VLOOKUP(A71,IF({1,0},INDIRECT("达修波得!$"&amp;$E$1&amp;"$2:$"&amp;$E$1&amp;"$8"),达修波得!$A$2:$A$8),2,FALSE))</f>
        <v/>
      </c>
      <c r="G71" s="35" t="str">
        <f ca="1">IF(OR(OR($A71="",$B71=""),AND($C71&lt;&gt;"",$D71&lt;&gt;"")),"",VLOOKUP(B71,IF({1,0},INDIRECT("达修波得!$"&amp;$E$1&amp;"$2:$"&amp;$E$1&amp;"$8"),达修波得!$A$2:$A$8),2,FALSE))</f>
        <v/>
      </c>
      <c r="H71" s="35" t="str">
        <f t="shared" ca="1" si="1"/>
        <v/>
      </c>
    </row>
    <row r="72" spans="1:8">
      <c r="F72" s="35" t="str">
        <f ca="1">IF(OR(OR($A72="",$B72=""),AND($C72&lt;&gt;"",$D72&lt;&gt;"")),"",VLOOKUP(A72,IF({1,0},INDIRECT("达修波得!$"&amp;$E$1&amp;"$2:$"&amp;$E$1&amp;"$8"),达修波得!$A$2:$A$8),2,FALSE))</f>
        <v/>
      </c>
      <c r="G72" s="35" t="str">
        <f ca="1">IF(OR(OR($A72="",$B72=""),AND($C72&lt;&gt;"",$D72&lt;&gt;"")),"",VLOOKUP(B72,IF({1,0},INDIRECT("达修波得!$"&amp;$E$1&amp;"$2:$"&amp;$E$1&amp;"$8"),达修波得!$A$2:$A$8),2,FALSE))</f>
        <v/>
      </c>
      <c r="H72" s="35" t="str">
        <f t="shared" ca="1" si="1"/>
        <v/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4"/>
  <dimension ref="A1:H93"/>
  <sheetViews>
    <sheetView workbookViewId="0">
      <selection activeCell="B11" sqref="B11"/>
    </sheetView>
  </sheetViews>
  <sheetFormatPr defaultRowHeight="13.5"/>
  <cols>
    <col min="1" max="2" width="15.125" bestFit="1" customWidth="1"/>
    <col min="3" max="4" width="2.5" bestFit="1" customWidth="1"/>
    <col min="6" max="7" width="3.375" style="35" bestFit="1" customWidth="1"/>
    <col min="8" max="8" width="5.25" style="35" bestFit="1" customWidth="1"/>
  </cols>
  <sheetData>
    <row r="1" spans="1:8">
      <c r="A1" s="4" t="s">
        <v>9</v>
      </c>
      <c r="C1" s="5" t="s">
        <v>2</v>
      </c>
      <c r="D1" s="5"/>
      <c r="E1" s="37" t="s">
        <v>59</v>
      </c>
      <c r="F1" s="35" t="str">
        <f ca="1">IF(OR(OR($A1="",$B1=""),AND($C1&lt;&gt;"",$D1&lt;&gt;"")),"",VLOOKUP(A1,IF({1,0},INDIRECT("达修波得!$"&amp;$E$1&amp;"$2:$"&amp;$E$1&amp;"$8"),达修波得!$A$2:$A$8),2,FALSE))</f>
        <v/>
      </c>
      <c r="G1" s="35" t="str">
        <f ca="1">IF(OR(OR($A1="",$B1=""),AND($C1&lt;&gt;"",$D1&lt;&gt;"")),"",VLOOKUP(B1,IF({1,0},INDIRECT("达修波得!$"&amp;$E$1&amp;"$2:$"&amp;$E$1&amp;"$8"),达修波得!$A$2:$A$8),2,FALSE))</f>
        <v/>
      </c>
      <c r="H1" s="35" t="str">
        <f ca="1">F1&amp;G1</f>
        <v/>
      </c>
    </row>
    <row r="2" spans="1:8">
      <c r="A2" t="s">
        <v>40</v>
      </c>
      <c r="B2" t="s">
        <v>102</v>
      </c>
      <c r="F2" s="35" t="str">
        <f ca="1">IF(OR(OR($A2="",$B2=""),AND($C2&lt;&gt;"",$D2&lt;&gt;"")),"",VLOOKUP(A2,IF({1,0},INDIRECT("达修波得!$"&amp;$E$1&amp;"$2:$"&amp;$E$1&amp;"$8"),达修波得!$A$2:$A$8),2,FALSE))</f>
        <v>爷</v>
      </c>
      <c r="G2" s="35" t="str">
        <f ca="1">IF(OR(OR($A2="",$B2=""),AND($C2&lt;&gt;"",$D2&lt;&gt;"")),"",VLOOKUP(B2,IF({1,0},INDIRECT("达修波得!$"&amp;$E$1&amp;"$2:$"&amp;$E$1&amp;"$8"),达修波得!$A$2:$A$8),2,FALSE))</f>
        <v>举</v>
      </c>
      <c r="H2" s="35" t="str">
        <f t="shared" ref="H2:H65" ca="1" si="0">F2&amp;G2</f>
        <v>爷举</v>
      </c>
    </row>
    <row r="3" spans="1:8">
      <c r="A3" t="s">
        <v>39</v>
      </c>
      <c r="B3" t="s">
        <v>41</v>
      </c>
      <c r="F3" s="35" t="str">
        <f ca="1">IF(OR(OR($A3="",$B3=""),AND($C3&lt;&gt;"",$D3&lt;&gt;"")),"",VLOOKUP(A3,IF({1,0},INDIRECT("达修波得!$"&amp;$E$1&amp;"$2:$"&amp;$E$1&amp;"$8"),达修波得!$A$2:$A$8),2,FALSE))</f>
        <v>黑</v>
      </c>
      <c r="G3" s="35" t="str">
        <f ca="1">IF(OR(OR($A3="",$B3=""),AND($C3&lt;&gt;"",$D3&lt;&gt;"")),"",VLOOKUP(B3,IF({1,0},INDIRECT("达修波得!$"&amp;$E$1&amp;"$2:$"&amp;$E$1&amp;"$8"),达修波得!$A$2:$A$8),2,FALSE))</f>
        <v>二</v>
      </c>
      <c r="H3" s="35" t="str">
        <f t="shared" ca="1" si="0"/>
        <v>黑二</v>
      </c>
    </row>
    <row r="4" spans="1:8">
      <c r="A4" t="s">
        <v>12</v>
      </c>
      <c r="B4" t="s">
        <v>79</v>
      </c>
      <c r="F4" s="35" t="str">
        <f ca="1">IF(OR(OR($A4="",$B4=""),AND($C4&lt;&gt;"",$D4&lt;&gt;"")),"",VLOOKUP(A4,IF({1,0},INDIRECT("达修波得!$"&amp;$E$1&amp;"$2:$"&amp;$E$1&amp;"$8"),达修波得!$A$2:$A$8),2,FALSE))</f>
        <v>宇</v>
      </c>
      <c r="G4" s="35" t="str">
        <f ca="1">IF(OR(OR($A4="",$B4=""),AND($C4&lt;&gt;"",$D4&lt;&gt;"")),"",VLOOKUP(B4,IF({1,0},INDIRECT("达修波得!$"&amp;$E$1&amp;"$2:$"&amp;$E$1&amp;"$8"),达修波得!$A$2:$A$8),2,FALSE))</f>
        <v>磊</v>
      </c>
      <c r="H4" s="35" t="str">
        <f t="shared" ca="1" si="0"/>
        <v>宇磊</v>
      </c>
    </row>
    <row r="5" spans="1:8">
      <c r="B5" t="s">
        <v>103</v>
      </c>
      <c r="F5" s="35" t="str">
        <f ca="1">IF(OR(OR($A5="",$B5=""),AND($C5&lt;&gt;"",$D5&lt;&gt;"")),"",VLOOKUP(A5,IF({1,0},INDIRECT("达修波得!$"&amp;$E$1&amp;"$2:$"&amp;$E$1&amp;"$8"),达修波得!$A$2:$A$8),2,FALSE))</f>
        <v/>
      </c>
      <c r="G5" s="35" t="str">
        <f ca="1">IF(OR(OR($A5="",$B5=""),AND($C5&lt;&gt;"",$D5&lt;&gt;"")),"",VLOOKUP(B5,IF({1,0},INDIRECT("达修波得!$"&amp;$E$1&amp;"$2:$"&amp;$E$1&amp;"$8"),达修波得!$A$2:$A$8),2,FALSE))</f>
        <v/>
      </c>
      <c r="H5" s="35" t="str">
        <f t="shared" ca="1" si="0"/>
        <v/>
      </c>
    </row>
    <row r="6" spans="1:8">
      <c r="A6" s="4" t="s">
        <v>10</v>
      </c>
      <c r="F6" s="35" t="str">
        <f ca="1">IF(OR(OR($A6="",$B6=""),AND($C6&lt;&gt;"",$D6&lt;&gt;"")),"",VLOOKUP(A6,IF({1,0},INDIRECT("达修波得!$"&amp;$E$1&amp;"$2:$"&amp;$E$1&amp;"$8"),达修波得!$A$2:$A$8),2,FALSE))</f>
        <v/>
      </c>
      <c r="G6" s="35" t="str">
        <f ca="1">IF(OR(OR($A6="",$B6=""),AND($C6&lt;&gt;"",$D6&lt;&gt;"")),"",VLOOKUP(B6,IF({1,0},INDIRECT("达修波得!$"&amp;$E$1&amp;"$2:$"&amp;$E$1&amp;"$8"),达修波得!$A$2:$A$8),2,FALSE))</f>
        <v/>
      </c>
      <c r="H6" s="35" t="str">
        <f t="shared" ca="1" si="0"/>
        <v/>
      </c>
    </row>
    <row r="7" spans="1:8">
      <c r="A7" t="s">
        <v>40</v>
      </c>
      <c r="B7" t="s">
        <v>41</v>
      </c>
      <c r="F7" s="35" t="str">
        <f ca="1">IF(OR(OR($A7="",$B7=""),AND($C7&lt;&gt;"",$D7&lt;&gt;"")),"",VLOOKUP(A7,IF({1,0},INDIRECT("达修波得!$"&amp;$E$1&amp;"$2:$"&amp;$E$1&amp;"$8"),达修波得!$A$2:$A$8),2,FALSE))</f>
        <v>爷</v>
      </c>
      <c r="G7" s="35" t="str">
        <f ca="1">IF(OR(OR($A7="",$B7=""),AND($C7&lt;&gt;"",$D7&lt;&gt;"")),"",VLOOKUP(B7,IF({1,0},INDIRECT("达修波得!$"&amp;$E$1&amp;"$2:$"&amp;$E$1&amp;"$8"),达修波得!$A$2:$A$8),2,FALSE))</f>
        <v>二</v>
      </c>
      <c r="H7" s="35" t="str">
        <f t="shared" ca="1" si="0"/>
        <v>爷二</v>
      </c>
    </row>
    <row r="8" spans="1:8">
      <c r="A8" t="s">
        <v>102</v>
      </c>
      <c r="B8" t="s">
        <v>79</v>
      </c>
      <c r="F8" s="35" t="str">
        <f ca="1">IF(OR(OR($A8="",$B8=""),AND($C8&lt;&gt;"",$D8&lt;&gt;"")),"",VLOOKUP(A8,IF({1,0},INDIRECT("达修波得!$"&amp;$E$1&amp;"$2:$"&amp;$E$1&amp;"$8"),达修波得!$A$2:$A$8),2,FALSE))</f>
        <v>举</v>
      </c>
      <c r="G8" s="35" t="str">
        <f ca="1">IF(OR(OR($A8="",$B8=""),AND($C8&lt;&gt;"",$D8&lt;&gt;"")),"",VLOOKUP(B8,IF({1,0},INDIRECT("达修波得!$"&amp;$E$1&amp;"$2:$"&amp;$E$1&amp;"$8"),达修波得!$A$2:$A$8),2,FALSE))</f>
        <v>磊</v>
      </c>
      <c r="H8" s="35" t="str">
        <f t="shared" ca="1" si="0"/>
        <v>举磊</v>
      </c>
    </row>
    <row r="9" spans="1:8">
      <c r="A9" t="s">
        <v>39</v>
      </c>
      <c r="B9" t="s">
        <v>103</v>
      </c>
      <c r="F9" s="35" t="str">
        <f ca="1">IF(OR(OR($A9="",$B9=""),AND($C9&lt;&gt;"",$D9&lt;&gt;"")),"",VLOOKUP(A9,IF({1,0},INDIRECT("达修波得!$"&amp;$E$1&amp;"$2:$"&amp;$E$1&amp;"$8"),达修波得!$A$2:$A$8),2,FALSE))</f>
        <v>黑</v>
      </c>
      <c r="G9" s="35" t="str">
        <f ca="1">IF(OR(OR($A9="",$B9=""),AND($C9&lt;&gt;"",$D9&lt;&gt;"")),"",VLOOKUP(B9,IF({1,0},INDIRECT("达修波得!$"&amp;$E$1&amp;"$2:$"&amp;$E$1&amp;"$8"),达修波得!$A$2:$A$8),2,FALSE))</f>
        <v>贝</v>
      </c>
      <c r="H9" s="35" t="str">
        <f t="shared" ca="1" si="0"/>
        <v>黑贝</v>
      </c>
    </row>
    <row r="10" spans="1:8">
      <c r="A10" t="s">
        <v>12</v>
      </c>
      <c r="F10" s="35" t="str">
        <f ca="1">IF(OR(OR($A10="",$B10=""),AND($C10&lt;&gt;"",$D10&lt;&gt;"")),"",VLOOKUP(A10,IF({1,0},INDIRECT("达修波得!$"&amp;$E$1&amp;"$2:$"&amp;$E$1&amp;"$8"),达修波得!$A$2:$A$8),2,FALSE))</f>
        <v/>
      </c>
      <c r="G10" s="35" t="str">
        <f ca="1">IF(OR(OR($A10="",$B10=""),AND($C10&lt;&gt;"",$D10&lt;&gt;"")),"",VLOOKUP(B10,IF({1,0},INDIRECT("达修波得!$"&amp;$E$1&amp;"$2:$"&amp;$E$1&amp;"$8"),达修波得!$A$2:$A$8),2,FALSE))</f>
        <v/>
      </c>
      <c r="H10" s="35" t="str">
        <f t="shared" ca="1" si="0"/>
        <v/>
      </c>
    </row>
    <row r="11" spans="1:8">
      <c r="A11" s="4" t="s">
        <v>11</v>
      </c>
      <c r="F11" s="35" t="str">
        <f ca="1">IF(OR(OR($A11="",$B11=""),AND($C11&lt;&gt;"",$D11&lt;&gt;"")),"",VLOOKUP(A11,IF({1,0},INDIRECT("达修波得!$"&amp;$E$1&amp;"$2:$"&amp;$E$1&amp;"$8"),达修波得!$A$2:$A$8),2,FALSE))</f>
        <v/>
      </c>
      <c r="G11" s="35" t="str">
        <f ca="1">IF(OR(OR($A11="",$B11=""),AND($C11&lt;&gt;"",$D11&lt;&gt;"")),"",VLOOKUP(B11,IF({1,0},INDIRECT("达修波得!$"&amp;$E$1&amp;"$2:$"&amp;$E$1&amp;"$8"),达修波得!$A$2:$A$8),2,FALSE))</f>
        <v/>
      </c>
      <c r="H11" s="35" t="str">
        <f t="shared" ca="1" si="0"/>
        <v/>
      </c>
    </row>
    <row r="12" spans="1:8">
      <c r="A12" t="s">
        <v>40</v>
      </c>
      <c r="B12" t="s">
        <v>79</v>
      </c>
      <c r="F12" s="35" t="str">
        <f ca="1">IF(OR(OR($A12="",$B12=""),AND($C12&lt;&gt;"",$D12&lt;&gt;"")),"",VLOOKUP(A12,IF({1,0},INDIRECT("达修波得!$"&amp;$E$1&amp;"$2:$"&amp;$E$1&amp;"$8"),达修波得!$A$2:$A$8),2,FALSE))</f>
        <v>爷</v>
      </c>
      <c r="G12" s="35" t="str">
        <f ca="1">IF(OR(OR($A12="",$B12=""),AND($C12&lt;&gt;"",$D12&lt;&gt;"")),"",VLOOKUP(B12,IF({1,0},INDIRECT("达修波得!$"&amp;$E$1&amp;"$2:$"&amp;$E$1&amp;"$8"),达修波得!$A$2:$A$8),2,FALSE))</f>
        <v>磊</v>
      </c>
      <c r="H12" s="35" t="str">
        <f t="shared" ca="1" si="0"/>
        <v>爷磊</v>
      </c>
    </row>
    <row r="13" spans="1:8">
      <c r="A13" t="s">
        <v>41</v>
      </c>
      <c r="B13" t="s">
        <v>103</v>
      </c>
      <c r="F13" s="35" t="str">
        <f ca="1">IF(OR(OR($A13="",$B13=""),AND($C13&lt;&gt;"",$D13&lt;&gt;"")),"",VLOOKUP(A13,IF({1,0},INDIRECT("达修波得!$"&amp;$E$1&amp;"$2:$"&amp;$E$1&amp;"$8"),达修波得!$A$2:$A$8),2,FALSE))</f>
        <v>二</v>
      </c>
      <c r="G13" s="35" t="str">
        <f ca="1">IF(OR(OR($A13="",$B13=""),AND($C13&lt;&gt;"",$D13&lt;&gt;"")),"",VLOOKUP(B13,IF({1,0},INDIRECT("达修波得!$"&amp;$E$1&amp;"$2:$"&amp;$E$1&amp;"$8"),达修波得!$A$2:$A$8),2,FALSE))</f>
        <v>贝</v>
      </c>
      <c r="H13" s="35" t="str">
        <f t="shared" ca="1" si="0"/>
        <v>二贝</v>
      </c>
    </row>
    <row r="14" spans="1:8">
      <c r="A14" t="s">
        <v>102</v>
      </c>
      <c r="F14" s="35" t="str">
        <f ca="1">IF(OR(OR($A14="",$B14=""),AND($C14&lt;&gt;"",$D14&lt;&gt;"")),"",VLOOKUP(A14,IF({1,0},INDIRECT("达修波得!$"&amp;$E$1&amp;"$2:$"&amp;$E$1&amp;"$8"),达修波得!$A$2:$A$8),2,FALSE))</f>
        <v/>
      </c>
      <c r="G14" s="35" t="str">
        <f ca="1">IF(OR(OR($A14="",$B14=""),AND($C14&lt;&gt;"",$D14&lt;&gt;"")),"",VLOOKUP(B14,IF({1,0},INDIRECT("达修波得!$"&amp;$E$1&amp;"$2:$"&amp;$E$1&amp;"$8"),达修波得!$A$2:$A$8),2,FALSE))</f>
        <v/>
      </c>
      <c r="H14" s="35" t="str">
        <f t="shared" ca="1" si="0"/>
        <v/>
      </c>
    </row>
    <row r="15" spans="1:8">
      <c r="A15" t="s">
        <v>39</v>
      </c>
      <c r="B15" t="s">
        <v>12</v>
      </c>
      <c r="F15" s="35" t="str">
        <f ca="1">IF(OR(OR($A15="",$B15=""),AND($C15&lt;&gt;"",$D15&lt;&gt;"")),"",VLOOKUP(A15,IF({1,0},INDIRECT("达修波得!$"&amp;$E$1&amp;"$2:$"&amp;$E$1&amp;"$8"),达修波得!$A$2:$A$8),2,FALSE))</f>
        <v>黑</v>
      </c>
      <c r="G15" s="35" t="str">
        <f ca="1">IF(OR(OR($A15="",$B15=""),AND($C15&lt;&gt;"",$D15&lt;&gt;"")),"",VLOOKUP(B15,IF({1,0},INDIRECT("达修波得!$"&amp;$E$1&amp;"$2:$"&amp;$E$1&amp;"$8"),达修波得!$A$2:$A$8),2,FALSE))</f>
        <v>宇</v>
      </c>
      <c r="H15" s="35" t="str">
        <f t="shared" ca="1" si="0"/>
        <v>黑宇</v>
      </c>
    </row>
    <row r="16" spans="1:8">
      <c r="A16" s="4" t="s">
        <v>15</v>
      </c>
      <c r="F16" s="35" t="str">
        <f ca="1">IF(OR(OR($A16="",$B16=""),AND($C16&lt;&gt;"",$D16&lt;&gt;"")),"",VLOOKUP(A16,IF({1,0},INDIRECT("达修波得!$"&amp;$E$1&amp;"$2:$"&amp;$E$1&amp;"$8"),达修波得!$A$2:$A$8),2,FALSE))</f>
        <v/>
      </c>
      <c r="G16" s="35" t="str">
        <f ca="1">IF(OR(OR($A16="",$B16=""),AND($C16&lt;&gt;"",$D16&lt;&gt;"")),"",VLOOKUP(B16,IF({1,0},INDIRECT("达修波得!$"&amp;$E$1&amp;"$2:$"&amp;$E$1&amp;"$8"),达修波得!$A$2:$A$8),2,FALSE))</f>
        <v/>
      </c>
      <c r="H16" s="35" t="str">
        <f t="shared" ca="1" si="0"/>
        <v/>
      </c>
    </row>
    <row r="17" spans="1:8">
      <c r="A17" t="s">
        <v>40</v>
      </c>
      <c r="B17" t="s">
        <v>103</v>
      </c>
      <c r="F17" s="35" t="str">
        <f ca="1">IF(OR(OR($A17="",$B17=""),AND($C17&lt;&gt;"",$D17&lt;&gt;"")),"",VLOOKUP(A17,IF({1,0},INDIRECT("达修波得!$"&amp;$E$1&amp;"$2:$"&amp;$E$1&amp;"$8"),达修波得!$A$2:$A$8),2,FALSE))</f>
        <v>爷</v>
      </c>
      <c r="G17" s="35" t="str">
        <f ca="1">IF(OR(OR($A17="",$B17=""),AND($C17&lt;&gt;"",$D17&lt;&gt;"")),"",VLOOKUP(B17,IF({1,0},INDIRECT("达修波得!$"&amp;$E$1&amp;"$2:$"&amp;$E$1&amp;"$8"),达修波得!$A$2:$A$8),2,FALSE))</f>
        <v>贝</v>
      </c>
      <c r="H17" s="35" t="str">
        <f t="shared" ca="1" si="0"/>
        <v>爷贝</v>
      </c>
    </row>
    <row r="18" spans="1:8">
      <c r="A18" t="s">
        <v>79</v>
      </c>
      <c r="F18" s="35" t="str">
        <f ca="1">IF(OR(OR($A18="",$B18=""),AND($C18&lt;&gt;"",$D18&lt;&gt;"")),"",VLOOKUP(A18,IF({1,0},INDIRECT("达修波得!$"&amp;$E$1&amp;"$2:$"&amp;$E$1&amp;"$8"),达修波得!$A$2:$A$8),2,FALSE))</f>
        <v/>
      </c>
      <c r="G18" s="35" t="str">
        <f ca="1">IF(OR(OR($A18="",$B18=""),AND($C18&lt;&gt;"",$D18&lt;&gt;"")),"",VLOOKUP(B18,IF({1,0},INDIRECT("达修波得!$"&amp;$E$1&amp;"$2:$"&amp;$E$1&amp;"$8"),达修波得!$A$2:$A$8),2,FALSE))</f>
        <v/>
      </c>
      <c r="H18" s="35" t="str">
        <f t="shared" ca="1" si="0"/>
        <v/>
      </c>
    </row>
    <row r="19" spans="1:8">
      <c r="A19" t="s">
        <v>41</v>
      </c>
      <c r="B19" t="s">
        <v>12</v>
      </c>
      <c r="F19" s="35" t="str">
        <f ca="1">IF(OR(OR($A19="",$B19=""),AND($C19&lt;&gt;"",$D19&lt;&gt;"")),"",VLOOKUP(A19,IF({1,0},INDIRECT("达修波得!$"&amp;$E$1&amp;"$2:$"&amp;$E$1&amp;"$8"),达修波得!$A$2:$A$8),2,FALSE))</f>
        <v>二</v>
      </c>
      <c r="G19" s="35" t="str">
        <f ca="1">IF(OR(OR($A19="",$B19=""),AND($C19&lt;&gt;"",$D19&lt;&gt;"")),"",VLOOKUP(B19,IF({1,0},INDIRECT("达修波得!$"&amp;$E$1&amp;"$2:$"&amp;$E$1&amp;"$8"),达修波得!$A$2:$A$8),2,FALSE))</f>
        <v>宇</v>
      </c>
      <c r="H19" s="35" t="str">
        <f t="shared" ca="1" si="0"/>
        <v>二宇</v>
      </c>
    </row>
    <row r="20" spans="1:8">
      <c r="A20" t="s">
        <v>102</v>
      </c>
      <c r="B20" t="s">
        <v>39</v>
      </c>
      <c r="F20" s="35" t="str">
        <f ca="1">IF(OR(OR($A20="",$B20=""),AND($C20&lt;&gt;"",$D20&lt;&gt;"")),"",VLOOKUP(A20,IF({1,0},INDIRECT("达修波得!$"&amp;$E$1&amp;"$2:$"&amp;$E$1&amp;"$8"),达修波得!$A$2:$A$8),2,FALSE))</f>
        <v>举</v>
      </c>
      <c r="G20" s="35" t="str">
        <f ca="1">IF(OR(OR($A20="",$B20=""),AND($C20&lt;&gt;"",$D20&lt;&gt;"")),"",VLOOKUP(B20,IF({1,0},INDIRECT("达修波得!$"&amp;$E$1&amp;"$2:$"&amp;$E$1&amp;"$8"),达修波得!$A$2:$A$8),2,FALSE))</f>
        <v>黑</v>
      </c>
      <c r="H20" s="35" t="str">
        <f t="shared" ca="1" si="0"/>
        <v>举黑</v>
      </c>
    </row>
    <row r="21" spans="1:8">
      <c r="A21" s="4" t="s">
        <v>16</v>
      </c>
      <c r="F21" s="35" t="str">
        <f ca="1">IF(OR(OR($A21="",$B21=""),AND($C21&lt;&gt;"",$D21&lt;&gt;"")),"",VLOOKUP(A21,IF({1,0},INDIRECT("达修波得!$"&amp;$E$1&amp;"$2:$"&amp;$E$1&amp;"$8"),达修波得!$A$2:$A$8),2,FALSE))</f>
        <v/>
      </c>
      <c r="G21" s="35" t="str">
        <f ca="1">IF(OR(OR($A21="",$B21=""),AND($C21&lt;&gt;"",$D21&lt;&gt;"")),"",VLOOKUP(B21,IF({1,0},INDIRECT("达修波得!$"&amp;$E$1&amp;"$2:$"&amp;$E$1&amp;"$8"),达修波得!$A$2:$A$8),2,FALSE))</f>
        <v/>
      </c>
      <c r="H21" s="35" t="str">
        <f t="shared" ca="1" si="0"/>
        <v/>
      </c>
    </row>
    <row r="22" spans="1:8">
      <c r="A22" t="s">
        <v>40</v>
      </c>
      <c r="F22" s="35" t="str">
        <f ca="1">IF(OR(OR($A22="",$B22=""),AND($C22&lt;&gt;"",$D22&lt;&gt;"")),"",VLOOKUP(A22,IF({1,0},INDIRECT("达修波得!$"&amp;$E$1&amp;"$2:$"&amp;$E$1&amp;"$8"),达修波得!$A$2:$A$8),2,FALSE))</f>
        <v/>
      </c>
      <c r="G22" s="35" t="str">
        <f ca="1">IF(OR(OR($A22="",$B22=""),AND($C22&lt;&gt;"",$D22&lt;&gt;"")),"",VLOOKUP(B22,IF({1,0},INDIRECT("达修波得!$"&amp;$E$1&amp;"$2:$"&amp;$E$1&amp;"$8"),达修波得!$A$2:$A$8),2,FALSE))</f>
        <v/>
      </c>
      <c r="H22" s="35" t="str">
        <f t="shared" ca="1" si="0"/>
        <v/>
      </c>
    </row>
    <row r="23" spans="1:8">
      <c r="A23" t="s">
        <v>103</v>
      </c>
      <c r="B23" t="s">
        <v>12</v>
      </c>
      <c r="F23" s="35" t="str">
        <f ca="1">IF(OR(OR($A23="",$B23=""),AND($C23&lt;&gt;"",$D23&lt;&gt;"")),"",VLOOKUP(A23,IF({1,0},INDIRECT("达修波得!$"&amp;$E$1&amp;"$2:$"&amp;$E$1&amp;"$8"),达修波得!$A$2:$A$8),2,FALSE))</f>
        <v>贝</v>
      </c>
      <c r="G23" s="35" t="str">
        <f ca="1">IF(OR(OR($A23="",$B23=""),AND($C23&lt;&gt;"",$D23&lt;&gt;"")),"",VLOOKUP(B23,IF({1,0},INDIRECT("达修波得!$"&amp;$E$1&amp;"$2:$"&amp;$E$1&amp;"$8"),达修波得!$A$2:$A$8),2,FALSE))</f>
        <v>宇</v>
      </c>
      <c r="H23" s="35" t="str">
        <f t="shared" ca="1" si="0"/>
        <v>贝宇</v>
      </c>
    </row>
    <row r="24" spans="1:8">
      <c r="A24" t="s">
        <v>79</v>
      </c>
      <c r="B24" t="s">
        <v>39</v>
      </c>
      <c r="F24" s="35" t="str">
        <f ca="1">IF(OR(OR($A24="",$B24=""),AND($C24&lt;&gt;"",$D24&lt;&gt;"")),"",VLOOKUP(A24,IF({1,0},INDIRECT("达修波得!$"&amp;$E$1&amp;"$2:$"&amp;$E$1&amp;"$8"),达修波得!$A$2:$A$8),2,FALSE))</f>
        <v>磊</v>
      </c>
      <c r="G24" s="35" t="str">
        <f ca="1">IF(OR(OR($A24="",$B24=""),AND($C24&lt;&gt;"",$D24&lt;&gt;"")),"",VLOOKUP(B24,IF({1,0},INDIRECT("达修波得!$"&amp;$E$1&amp;"$2:$"&amp;$E$1&amp;"$8"),达修波得!$A$2:$A$8),2,FALSE))</f>
        <v>黑</v>
      </c>
      <c r="H24" s="35" t="str">
        <f t="shared" ca="1" si="0"/>
        <v>磊黑</v>
      </c>
    </row>
    <row r="25" spans="1:8">
      <c r="A25" t="s">
        <v>41</v>
      </c>
      <c r="B25" t="s">
        <v>102</v>
      </c>
      <c r="F25" s="35" t="str">
        <f ca="1">IF(OR(OR($A25="",$B25=""),AND($C25&lt;&gt;"",$D25&lt;&gt;"")),"",VLOOKUP(A25,IF({1,0},INDIRECT("达修波得!$"&amp;$E$1&amp;"$2:$"&amp;$E$1&amp;"$8"),达修波得!$A$2:$A$8),2,FALSE))</f>
        <v>二</v>
      </c>
      <c r="G25" s="35" t="str">
        <f ca="1">IF(OR(OR($A25="",$B25=""),AND($C25&lt;&gt;"",$D25&lt;&gt;"")),"",VLOOKUP(B25,IF({1,0},INDIRECT("达修波得!$"&amp;$E$1&amp;"$2:$"&amp;$E$1&amp;"$8"),达修波得!$A$2:$A$8),2,FALSE))</f>
        <v>举</v>
      </c>
      <c r="H25" s="35" t="str">
        <f t="shared" ca="1" si="0"/>
        <v>二举</v>
      </c>
    </row>
    <row r="26" spans="1:8">
      <c r="A26" s="4" t="s">
        <v>17</v>
      </c>
      <c r="F26" s="35" t="str">
        <f ca="1">IF(OR(OR($A26="",$B26=""),AND($C26&lt;&gt;"",$D26&lt;&gt;"")),"",VLOOKUP(A26,IF({1,0},INDIRECT("达修波得!$"&amp;$E$1&amp;"$2:$"&amp;$E$1&amp;"$8"),达修波得!$A$2:$A$8),2,FALSE))</f>
        <v/>
      </c>
      <c r="G26" s="35" t="str">
        <f ca="1">IF(OR(OR($A26="",$B26=""),AND($C26&lt;&gt;"",$D26&lt;&gt;"")),"",VLOOKUP(B26,IF({1,0},INDIRECT("达修波得!$"&amp;$E$1&amp;"$2:$"&amp;$E$1&amp;"$8"),达修波得!$A$2:$A$8),2,FALSE))</f>
        <v/>
      </c>
      <c r="H26" s="35" t="str">
        <f t="shared" ca="1" si="0"/>
        <v/>
      </c>
    </row>
    <row r="27" spans="1:8">
      <c r="A27" t="s">
        <v>40</v>
      </c>
      <c r="B27" t="s">
        <v>12</v>
      </c>
      <c r="F27" s="35" t="str">
        <f ca="1">IF(OR(OR($A27="",$B27=""),AND($C27&lt;&gt;"",$D27&lt;&gt;"")),"",VLOOKUP(A27,IF({1,0},INDIRECT("达修波得!$"&amp;$E$1&amp;"$2:$"&amp;$E$1&amp;"$8"),达修波得!$A$2:$A$8),2,FALSE))</f>
        <v>爷</v>
      </c>
      <c r="G27" s="35" t="str">
        <f ca="1">IF(OR(OR($A27="",$B27=""),AND($C27&lt;&gt;"",$D27&lt;&gt;"")),"",VLOOKUP(B27,IF({1,0},INDIRECT("达修波得!$"&amp;$E$1&amp;"$2:$"&amp;$E$1&amp;"$8"),达修波得!$A$2:$A$8),2,FALSE))</f>
        <v>宇</v>
      </c>
      <c r="H27" s="35" t="str">
        <f t="shared" ca="1" si="0"/>
        <v>爷宇</v>
      </c>
    </row>
    <row r="28" spans="1:8">
      <c r="B28" t="s">
        <v>39</v>
      </c>
      <c r="F28" s="35" t="str">
        <f ca="1">IF(OR(OR($A28="",$B28=""),AND($C28&lt;&gt;"",$D28&lt;&gt;"")),"",VLOOKUP(A28,IF({1,0},INDIRECT("达修波得!$"&amp;$E$1&amp;"$2:$"&amp;$E$1&amp;"$8"),达修波得!$A$2:$A$8),2,FALSE))</f>
        <v/>
      </c>
      <c r="G28" s="35" t="str">
        <f ca="1">IF(OR(OR($A28="",$B28=""),AND($C28&lt;&gt;"",$D28&lt;&gt;"")),"",VLOOKUP(B28,IF({1,0},INDIRECT("达修波得!$"&amp;$E$1&amp;"$2:$"&amp;$E$1&amp;"$8"),达修波得!$A$2:$A$8),2,FALSE))</f>
        <v/>
      </c>
      <c r="H28" s="35" t="str">
        <f t="shared" ca="1" si="0"/>
        <v/>
      </c>
    </row>
    <row r="29" spans="1:8">
      <c r="A29" t="s">
        <v>103</v>
      </c>
      <c r="B29" t="s">
        <v>102</v>
      </c>
      <c r="F29" s="35" t="str">
        <f ca="1">IF(OR(OR($A29="",$B29=""),AND($C29&lt;&gt;"",$D29&lt;&gt;"")),"",VLOOKUP(A29,IF({1,0},INDIRECT("达修波得!$"&amp;$E$1&amp;"$2:$"&amp;$E$1&amp;"$8"),达修波得!$A$2:$A$8),2,FALSE))</f>
        <v>贝</v>
      </c>
      <c r="G29" s="35" t="str">
        <f ca="1">IF(OR(OR($A29="",$B29=""),AND($C29&lt;&gt;"",$D29&lt;&gt;"")),"",VLOOKUP(B29,IF({1,0},INDIRECT("达修波得!$"&amp;$E$1&amp;"$2:$"&amp;$E$1&amp;"$8"),达修波得!$A$2:$A$8),2,FALSE))</f>
        <v>举</v>
      </c>
      <c r="H29" s="35" t="str">
        <f t="shared" ca="1" si="0"/>
        <v>贝举</v>
      </c>
    </row>
    <row r="30" spans="1:8">
      <c r="A30" t="s">
        <v>79</v>
      </c>
      <c r="B30" t="s">
        <v>41</v>
      </c>
      <c r="F30" s="35" t="str">
        <f ca="1">IF(OR(OR($A30="",$B30=""),AND($C30&lt;&gt;"",$D30&lt;&gt;"")),"",VLOOKUP(A30,IF({1,0},INDIRECT("达修波得!$"&amp;$E$1&amp;"$2:$"&amp;$E$1&amp;"$8"),达修波得!$A$2:$A$8),2,FALSE))</f>
        <v>磊</v>
      </c>
      <c r="G30" s="35" t="str">
        <f ca="1">IF(OR(OR($A30="",$B30=""),AND($C30&lt;&gt;"",$D30&lt;&gt;"")),"",VLOOKUP(B30,IF({1,0},INDIRECT("达修波得!$"&amp;$E$1&amp;"$2:$"&amp;$E$1&amp;"$8"),达修波得!$A$2:$A$8),2,FALSE))</f>
        <v>二</v>
      </c>
      <c r="H30" s="35" t="str">
        <f t="shared" ca="1" si="0"/>
        <v>磊二</v>
      </c>
    </row>
    <row r="31" spans="1:8">
      <c r="A31" s="4" t="s">
        <v>18</v>
      </c>
      <c r="F31" s="35" t="str">
        <f ca="1">IF(OR(OR($A31="",$B31=""),AND($C31&lt;&gt;"",$D31&lt;&gt;"")),"",VLOOKUP(A31,IF({1,0},INDIRECT("达修波得!$"&amp;$E$1&amp;"$2:$"&amp;$E$1&amp;"$8"),达修波得!$A$2:$A$8),2,FALSE))</f>
        <v/>
      </c>
      <c r="G31" s="35" t="str">
        <f ca="1">IF(OR(OR($A31="",$B31=""),AND($C31&lt;&gt;"",$D31&lt;&gt;"")),"",VLOOKUP(B31,IF({1,0},INDIRECT("达修波得!$"&amp;$E$1&amp;"$2:$"&amp;$E$1&amp;"$8"),达修波得!$A$2:$A$8),2,FALSE))</f>
        <v/>
      </c>
      <c r="H31" s="35" t="str">
        <f t="shared" ca="1" si="0"/>
        <v/>
      </c>
    </row>
    <row r="32" spans="1:8">
      <c r="A32" t="s">
        <v>40</v>
      </c>
      <c r="B32" t="s">
        <v>39</v>
      </c>
      <c r="F32" s="35" t="str">
        <f ca="1">IF(OR(OR($A32="",$B32=""),AND($C32&lt;&gt;"",$D32&lt;&gt;"")),"",VLOOKUP(A32,IF({1,0},INDIRECT("达修波得!$"&amp;$E$1&amp;"$2:$"&amp;$E$1&amp;"$8"),达修波得!$A$2:$A$8),2,FALSE))</f>
        <v>爷</v>
      </c>
      <c r="G32" s="35" t="str">
        <f ca="1">IF(OR(OR($A32="",$B32=""),AND($C32&lt;&gt;"",$D32&lt;&gt;"")),"",VLOOKUP(B32,IF({1,0},INDIRECT("达修波得!$"&amp;$E$1&amp;"$2:$"&amp;$E$1&amp;"$8"),达修波得!$A$2:$A$8),2,FALSE))</f>
        <v>黑</v>
      </c>
      <c r="H32" s="35" t="str">
        <f t="shared" ca="1" si="0"/>
        <v>爷黑</v>
      </c>
    </row>
    <row r="33" spans="1:8">
      <c r="A33" t="s">
        <v>12</v>
      </c>
      <c r="B33" t="s">
        <v>102</v>
      </c>
      <c r="F33" s="35" t="str">
        <f ca="1">IF(OR(OR($A33="",$B33=""),AND($C33&lt;&gt;"",$D33&lt;&gt;"")),"",VLOOKUP(A33,IF({1,0},INDIRECT("达修波得!$"&amp;$E$1&amp;"$2:$"&amp;$E$1&amp;"$8"),达修波得!$A$2:$A$8),2,FALSE))</f>
        <v>宇</v>
      </c>
      <c r="G33" s="35" t="str">
        <f ca="1">IF(OR(OR($A33="",$B33=""),AND($C33&lt;&gt;"",$D33&lt;&gt;"")),"",VLOOKUP(B33,IF({1,0},INDIRECT("达修波得!$"&amp;$E$1&amp;"$2:$"&amp;$E$1&amp;"$8"),达修波得!$A$2:$A$8),2,FALSE))</f>
        <v>举</v>
      </c>
      <c r="H33" s="35" t="str">
        <f t="shared" ca="1" si="0"/>
        <v>宇举</v>
      </c>
    </row>
    <row r="34" spans="1:8">
      <c r="B34" t="s">
        <v>41</v>
      </c>
      <c r="F34" s="35" t="str">
        <f ca="1">IF(OR(OR($A34="",$B34=""),AND($C34&lt;&gt;"",$D34&lt;&gt;"")),"",VLOOKUP(A34,IF({1,0},INDIRECT("达修波得!$"&amp;$E$1&amp;"$2:$"&amp;$E$1&amp;"$8"),达修波得!$A$2:$A$8),2,FALSE))</f>
        <v/>
      </c>
      <c r="G34" s="35" t="str">
        <f ca="1">IF(OR(OR($A34="",$B34=""),AND($C34&lt;&gt;"",$D34&lt;&gt;"")),"",VLOOKUP(B34,IF({1,0},INDIRECT("达修波得!$"&amp;$E$1&amp;"$2:$"&amp;$E$1&amp;"$8"),达修波得!$A$2:$A$8),2,FALSE))</f>
        <v/>
      </c>
      <c r="H34" s="35" t="str">
        <f t="shared" ca="1" si="0"/>
        <v/>
      </c>
    </row>
    <row r="35" spans="1:8">
      <c r="A35" t="s">
        <v>103</v>
      </c>
      <c r="B35" t="s">
        <v>79</v>
      </c>
      <c r="F35" s="35" t="str">
        <f ca="1">IF(OR(OR($A35="",$B35=""),AND($C35&lt;&gt;"",$D35&lt;&gt;"")),"",VLOOKUP(A35,IF({1,0},INDIRECT("达修波得!$"&amp;$E$1&amp;"$2:$"&amp;$E$1&amp;"$8"),达修波得!$A$2:$A$8),2,FALSE))</f>
        <v>贝</v>
      </c>
      <c r="G35" s="35" t="str">
        <f ca="1">IF(OR(OR($A35="",$B35=""),AND($C35&lt;&gt;"",$D35&lt;&gt;"")),"",VLOOKUP(B35,IF({1,0},INDIRECT("达修波得!$"&amp;$E$1&amp;"$2:$"&amp;$E$1&amp;"$8"),达修波得!$A$2:$A$8),2,FALSE))</f>
        <v>磊</v>
      </c>
      <c r="H35" s="35" t="str">
        <f t="shared" ca="1" si="0"/>
        <v>贝磊</v>
      </c>
    </row>
    <row r="36" spans="1:8">
      <c r="A36" s="4" t="s">
        <v>30</v>
      </c>
      <c r="F36" s="35" t="str">
        <f ca="1">IF(OR(OR($A36="",$B36=""),AND($C36&lt;&gt;"",$D36&lt;&gt;"")),"",VLOOKUP(A36,IF({1,0},INDIRECT("达修波得!$"&amp;$E$1&amp;"$2:$"&amp;$E$1&amp;"$8"),达修波得!$A$2:$A$8),2,FALSE))</f>
        <v/>
      </c>
      <c r="G36" s="35" t="str">
        <f ca="1">IF(OR(OR($A36="",$B36=""),AND($C36&lt;&gt;"",$D36&lt;&gt;"")),"",VLOOKUP(B36,IF({1,0},INDIRECT("达修波得!$"&amp;$E$1&amp;"$2:$"&amp;$E$1&amp;"$8"),达修波得!$A$2:$A$8),2,FALSE))</f>
        <v/>
      </c>
      <c r="H36" s="35" t="str">
        <f t="shared" ca="1" si="0"/>
        <v/>
      </c>
    </row>
    <row r="37" spans="1:8">
      <c r="A37" t="s">
        <v>102</v>
      </c>
      <c r="B37" t="s">
        <v>40</v>
      </c>
      <c r="F37" s="35" t="str">
        <f ca="1">IF(OR(OR($A37="",$B37=""),AND($C37&lt;&gt;"",$D37&lt;&gt;"")),"",VLOOKUP(A37,IF({1,0},INDIRECT("达修波得!$"&amp;$E$1&amp;"$2:$"&amp;$E$1&amp;"$8"),达修波得!$A$2:$A$8),2,FALSE))</f>
        <v>举</v>
      </c>
      <c r="G37" s="35" t="str">
        <f ca="1">IF(OR(OR($A37="",$B37=""),AND($C37&lt;&gt;"",$D37&lt;&gt;"")),"",VLOOKUP(B37,IF({1,0},INDIRECT("达修波得!$"&amp;$E$1&amp;"$2:$"&amp;$E$1&amp;"$8"),达修波得!$A$2:$A$8),2,FALSE))</f>
        <v>爷</v>
      </c>
      <c r="H37" s="35" t="str">
        <f t="shared" ca="1" si="0"/>
        <v>举爷</v>
      </c>
    </row>
    <row r="38" spans="1:8">
      <c r="A38" t="s">
        <v>41</v>
      </c>
      <c r="B38" t="s">
        <v>39</v>
      </c>
      <c r="F38" s="35" t="str">
        <f ca="1">IF(OR(OR($A38="",$B38=""),AND($C38&lt;&gt;"",$D38&lt;&gt;"")),"",VLOOKUP(A38,IF({1,0},INDIRECT("达修波得!$"&amp;$E$1&amp;"$2:$"&amp;$E$1&amp;"$8"),达修波得!$A$2:$A$8),2,FALSE))</f>
        <v>二</v>
      </c>
      <c r="G38" s="35" t="str">
        <f ca="1">IF(OR(OR($A38="",$B38=""),AND($C38&lt;&gt;"",$D38&lt;&gt;"")),"",VLOOKUP(B38,IF({1,0},INDIRECT("达修波得!$"&amp;$E$1&amp;"$2:$"&amp;$E$1&amp;"$8"),达修波得!$A$2:$A$8),2,FALSE))</f>
        <v>黑</v>
      </c>
      <c r="H38" s="35" t="str">
        <f t="shared" ca="1" si="0"/>
        <v>二黑</v>
      </c>
    </row>
    <row r="39" spans="1:8">
      <c r="A39" t="s">
        <v>79</v>
      </c>
      <c r="B39" t="s">
        <v>12</v>
      </c>
      <c r="F39" s="35" t="str">
        <f ca="1">IF(OR(OR($A39="",$B39=""),AND($C39&lt;&gt;"",$D39&lt;&gt;"")),"",VLOOKUP(A39,IF({1,0},INDIRECT("达修波得!$"&amp;$E$1&amp;"$2:$"&amp;$E$1&amp;"$8"),达修波得!$A$2:$A$8),2,FALSE))</f>
        <v>磊</v>
      </c>
      <c r="G39" s="35" t="str">
        <f ca="1">IF(OR(OR($A39="",$B39=""),AND($C39&lt;&gt;"",$D39&lt;&gt;"")),"",VLOOKUP(B39,IF({1,0},INDIRECT("达修波得!$"&amp;$E$1&amp;"$2:$"&amp;$E$1&amp;"$8"),达修波得!$A$2:$A$8),2,FALSE))</f>
        <v>宇</v>
      </c>
      <c r="H39" s="35" t="str">
        <f t="shared" ca="1" si="0"/>
        <v>磊宇</v>
      </c>
    </row>
    <row r="40" spans="1:8">
      <c r="A40" t="s">
        <v>103</v>
      </c>
      <c r="F40" s="35" t="str">
        <f ca="1">IF(OR(OR($A40="",$B40=""),AND($C40&lt;&gt;"",$D40&lt;&gt;"")),"",VLOOKUP(A40,IF({1,0},INDIRECT("达修波得!$"&amp;$E$1&amp;"$2:$"&amp;$E$1&amp;"$8"),达修波得!$A$2:$A$8),2,FALSE))</f>
        <v/>
      </c>
      <c r="G40" s="35" t="str">
        <f ca="1">IF(OR(OR($A40="",$B40=""),AND($C40&lt;&gt;"",$D40&lt;&gt;"")),"",VLOOKUP(B40,IF({1,0},INDIRECT("达修波得!$"&amp;$E$1&amp;"$2:$"&amp;$E$1&amp;"$8"),达修波得!$A$2:$A$8),2,FALSE))</f>
        <v/>
      </c>
      <c r="H40" s="35" t="str">
        <f t="shared" ca="1" si="0"/>
        <v/>
      </c>
    </row>
    <row r="41" spans="1:8">
      <c r="A41" s="4" t="s">
        <v>31</v>
      </c>
      <c r="F41" s="35" t="str">
        <f ca="1">IF(OR(OR($A41="",$B41=""),AND($C41&lt;&gt;"",$D41&lt;&gt;"")),"",VLOOKUP(A41,IF({1,0},INDIRECT("达修波得!$"&amp;$E$1&amp;"$2:$"&amp;$E$1&amp;"$8"),达修波得!$A$2:$A$8),2,FALSE))</f>
        <v/>
      </c>
      <c r="G41" s="35" t="str">
        <f ca="1">IF(OR(OR($A41="",$B41=""),AND($C41&lt;&gt;"",$D41&lt;&gt;"")),"",VLOOKUP(B41,IF({1,0},INDIRECT("达修波得!$"&amp;$E$1&amp;"$2:$"&amp;$E$1&amp;"$8"),达修波得!$A$2:$A$8),2,FALSE))</f>
        <v/>
      </c>
      <c r="H41" s="35" t="str">
        <f t="shared" ca="1" si="0"/>
        <v/>
      </c>
    </row>
    <row r="42" spans="1:8">
      <c r="A42" t="s">
        <v>41</v>
      </c>
      <c r="B42" t="s">
        <v>40</v>
      </c>
      <c r="F42" s="35" t="str">
        <f ca="1">IF(OR(OR($A42="",$B42=""),AND($C42&lt;&gt;"",$D42&lt;&gt;"")),"",VLOOKUP(A42,IF({1,0},INDIRECT("达修波得!$"&amp;$E$1&amp;"$2:$"&amp;$E$1&amp;"$8"),达修波得!$A$2:$A$8),2,FALSE))</f>
        <v>二</v>
      </c>
      <c r="G42" s="35" t="str">
        <f ca="1">IF(OR(OR($A42="",$B42=""),AND($C42&lt;&gt;"",$D42&lt;&gt;"")),"",VLOOKUP(B42,IF({1,0},INDIRECT("达修波得!$"&amp;$E$1&amp;"$2:$"&amp;$E$1&amp;"$8"),达修波得!$A$2:$A$8),2,FALSE))</f>
        <v>爷</v>
      </c>
      <c r="H42" s="35" t="str">
        <f t="shared" ca="1" si="0"/>
        <v>二爷</v>
      </c>
    </row>
    <row r="43" spans="1:8">
      <c r="A43" t="s">
        <v>79</v>
      </c>
      <c r="B43" t="s">
        <v>102</v>
      </c>
      <c r="F43" s="35" t="str">
        <f ca="1">IF(OR(OR($A43="",$B43=""),AND($C43&lt;&gt;"",$D43&lt;&gt;"")),"",VLOOKUP(A43,IF({1,0},INDIRECT("达修波得!$"&amp;$E$1&amp;"$2:$"&amp;$E$1&amp;"$8"),达修波得!$A$2:$A$8),2,FALSE))</f>
        <v>磊</v>
      </c>
      <c r="G43" s="35" t="str">
        <f ca="1">IF(OR(OR($A43="",$B43=""),AND($C43&lt;&gt;"",$D43&lt;&gt;"")),"",VLOOKUP(B43,IF({1,0},INDIRECT("达修波得!$"&amp;$E$1&amp;"$2:$"&amp;$E$1&amp;"$8"),达修波得!$A$2:$A$8),2,FALSE))</f>
        <v>举</v>
      </c>
      <c r="H43" s="35" t="str">
        <f t="shared" ca="1" si="0"/>
        <v>磊举</v>
      </c>
    </row>
    <row r="44" spans="1:8">
      <c r="A44" t="s">
        <v>103</v>
      </c>
      <c r="B44" t="s">
        <v>39</v>
      </c>
      <c r="F44" s="35" t="str">
        <f ca="1">IF(OR(OR($A44="",$B44=""),AND($C44&lt;&gt;"",$D44&lt;&gt;"")),"",VLOOKUP(A44,IF({1,0},INDIRECT("达修波得!$"&amp;$E$1&amp;"$2:$"&amp;$E$1&amp;"$8"),达修波得!$A$2:$A$8),2,FALSE))</f>
        <v>贝</v>
      </c>
      <c r="G44" s="35" t="str">
        <f ca="1">IF(OR(OR($A44="",$B44=""),AND($C44&lt;&gt;"",$D44&lt;&gt;"")),"",VLOOKUP(B44,IF({1,0},INDIRECT("达修波得!$"&amp;$E$1&amp;"$2:$"&amp;$E$1&amp;"$8"),达修波得!$A$2:$A$8),2,FALSE))</f>
        <v>黑</v>
      </c>
      <c r="H44" s="35" t="str">
        <f t="shared" ca="1" si="0"/>
        <v>贝黑</v>
      </c>
    </row>
    <row r="45" spans="1:8">
      <c r="B45" t="s">
        <v>12</v>
      </c>
      <c r="F45" s="35" t="str">
        <f ca="1">IF(OR(OR($A45="",$B45=""),AND($C45&lt;&gt;"",$D45&lt;&gt;"")),"",VLOOKUP(A45,IF({1,0},INDIRECT("达修波得!$"&amp;$E$1&amp;"$2:$"&amp;$E$1&amp;"$8"),达修波得!$A$2:$A$8),2,FALSE))</f>
        <v/>
      </c>
      <c r="G45" s="35" t="str">
        <f ca="1">IF(OR(OR($A45="",$B45=""),AND($C45&lt;&gt;"",$D45&lt;&gt;"")),"",VLOOKUP(B45,IF({1,0},INDIRECT("达修波得!$"&amp;$E$1&amp;"$2:$"&amp;$E$1&amp;"$8"),达修波得!$A$2:$A$8),2,FALSE))</f>
        <v/>
      </c>
      <c r="H45" s="35" t="str">
        <f t="shared" ca="1" si="0"/>
        <v/>
      </c>
    </row>
    <row r="46" spans="1:8">
      <c r="A46" s="4" t="s">
        <v>32</v>
      </c>
      <c r="F46" s="35" t="str">
        <f ca="1">IF(OR(OR($A46="",$B46=""),AND($C46&lt;&gt;"",$D46&lt;&gt;"")),"",VLOOKUP(A46,IF({1,0},INDIRECT("达修波得!$"&amp;$E$1&amp;"$2:$"&amp;$E$1&amp;"$8"),达修波得!$A$2:$A$8),2,FALSE))</f>
        <v/>
      </c>
      <c r="G46" s="35" t="str">
        <f ca="1">IF(OR(OR($A46="",$B46=""),AND($C46&lt;&gt;"",$D46&lt;&gt;"")),"",VLOOKUP(B46,IF({1,0},INDIRECT("达修波得!$"&amp;$E$1&amp;"$2:$"&amp;$E$1&amp;"$8"),达修波得!$A$2:$A$8),2,FALSE))</f>
        <v/>
      </c>
      <c r="H46" s="35" t="str">
        <f t="shared" ca="1" si="0"/>
        <v/>
      </c>
    </row>
    <row r="47" spans="1:8">
      <c r="A47" t="s">
        <v>79</v>
      </c>
      <c r="B47" t="s">
        <v>40</v>
      </c>
      <c r="F47" s="35" t="str">
        <f ca="1">IF(OR(OR($A47="",$B47=""),AND($C47&lt;&gt;"",$D47&lt;&gt;"")),"",VLOOKUP(A47,IF({1,0},INDIRECT("达修波得!$"&amp;$E$1&amp;"$2:$"&amp;$E$1&amp;"$8"),达修波得!$A$2:$A$8),2,FALSE))</f>
        <v>磊</v>
      </c>
      <c r="G47" s="35" t="str">
        <f ca="1">IF(OR(OR($A47="",$B47=""),AND($C47&lt;&gt;"",$D47&lt;&gt;"")),"",VLOOKUP(B47,IF({1,0},INDIRECT("达修波得!$"&amp;$E$1&amp;"$2:$"&amp;$E$1&amp;"$8"),达修波得!$A$2:$A$8),2,FALSE))</f>
        <v>爷</v>
      </c>
      <c r="H47" s="35" t="str">
        <f t="shared" ca="1" si="0"/>
        <v>磊爷</v>
      </c>
    </row>
    <row r="48" spans="1:8">
      <c r="A48" t="s">
        <v>103</v>
      </c>
      <c r="B48" t="s">
        <v>41</v>
      </c>
      <c r="F48" s="35" t="str">
        <f ca="1">IF(OR(OR($A48="",$B48=""),AND($C48&lt;&gt;"",$D48&lt;&gt;"")),"",VLOOKUP(A48,IF({1,0},INDIRECT("达修波得!$"&amp;$E$1&amp;"$2:$"&amp;$E$1&amp;"$8"),达修波得!$A$2:$A$8),2,FALSE))</f>
        <v>贝</v>
      </c>
      <c r="G48" s="35" t="str">
        <f ca="1">IF(OR(OR($A48="",$B48=""),AND($C48&lt;&gt;"",$D48&lt;&gt;"")),"",VLOOKUP(B48,IF({1,0},INDIRECT("达修波得!$"&amp;$E$1&amp;"$2:$"&amp;$E$1&amp;"$8"),达修波得!$A$2:$A$8),2,FALSE))</f>
        <v>二</v>
      </c>
      <c r="H48" s="35" t="str">
        <f t="shared" ca="1" si="0"/>
        <v>贝二</v>
      </c>
    </row>
    <row r="49" spans="1:8">
      <c r="B49" t="s">
        <v>102</v>
      </c>
      <c r="F49" s="35" t="str">
        <f ca="1">IF(OR(OR($A49="",$B49=""),AND($C49&lt;&gt;"",$D49&lt;&gt;"")),"",VLOOKUP(A49,IF({1,0},INDIRECT("达修波得!$"&amp;$E$1&amp;"$2:$"&amp;$E$1&amp;"$8"),达修波得!$A$2:$A$8),2,FALSE))</f>
        <v/>
      </c>
      <c r="G49" s="35" t="str">
        <f ca="1">IF(OR(OR($A49="",$B49=""),AND($C49&lt;&gt;"",$D49&lt;&gt;"")),"",VLOOKUP(B49,IF({1,0},INDIRECT("达修波得!$"&amp;$E$1&amp;"$2:$"&amp;$E$1&amp;"$8"),达修波得!$A$2:$A$8),2,FALSE))</f>
        <v/>
      </c>
      <c r="H49" s="35" t="str">
        <f t="shared" ca="1" si="0"/>
        <v/>
      </c>
    </row>
    <row r="50" spans="1:8">
      <c r="A50" t="s">
        <v>12</v>
      </c>
      <c r="B50" t="s">
        <v>39</v>
      </c>
      <c r="F50" s="35" t="str">
        <f ca="1">IF(OR(OR($A50="",$B50=""),AND($C50&lt;&gt;"",$D50&lt;&gt;"")),"",VLOOKUP(A50,IF({1,0},INDIRECT("达修波得!$"&amp;$E$1&amp;"$2:$"&amp;$E$1&amp;"$8"),达修波得!$A$2:$A$8),2,FALSE))</f>
        <v>宇</v>
      </c>
      <c r="G50" s="35" t="str">
        <f ca="1">IF(OR(OR($A50="",$B50=""),AND($C50&lt;&gt;"",$D50&lt;&gt;"")),"",VLOOKUP(B50,IF({1,0},INDIRECT("达修波得!$"&amp;$E$1&amp;"$2:$"&amp;$E$1&amp;"$8"),达修波得!$A$2:$A$8),2,FALSE))</f>
        <v>黑</v>
      </c>
      <c r="H50" s="35" t="str">
        <f t="shared" ca="1" si="0"/>
        <v>宇黑</v>
      </c>
    </row>
    <row r="51" spans="1:8">
      <c r="A51" s="4" t="s">
        <v>33</v>
      </c>
      <c r="F51" s="35" t="str">
        <f ca="1">IF(OR(OR($A51="",$B51=""),AND($C51&lt;&gt;"",$D51&lt;&gt;"")),"",VLOOKUP(A51,IF({1,0},INDIRECT("达修波得!$"&amp;$E$1&amp;"$2:$"&amp;$E$1&amp;"$8"),达修波得!$A$2:$A$8),2,FALSE))</f>
        <v/>
      </c>
      <c r="G51" s="35" t="str">
        <f ca="1">IF(OR(OR($A51="",$B51=""),AND($C51&lt;&gt;"",$D51&lt;&gt;"")),"",VLOOKUP(B51,IF({1,0},INDIRECT("达修波得!$"&amp;$E$1&amp;"$2:$"&amp;$E$1&amp;"$8"),达修波得!$A$2:$A$8),2,FALSE))</f>
        <v/>
      </c>
      <c r="H51" s="35" t="str">
        <f t="shared" ca="1" si="0"/>
        <v/>
      </c>
    </row>
    <row r="52" spans="1:8">
      <c r="A52" t="s">
        <v>103</v>
      </c>
      <c r="B52" t="s">
        <v>40</v>
      </c>
      <c r="F52" s="35" t="str">
        <f ca="1">IF(OR(OR($A52="",$B52=""),AND($C52&lt;&gt;"",$D52&lt;&gt;"")),"",VLOOKUP(A52,IF({1,0},INDIRECT("达修波得!$"&amp;$E$1&amp;"$2:$"&amp;$E$1&amp;"$8"),达修波得!$A$2:$A$8),2,FALSE))</f>
        <v>贝</v>
      </c>
      <c r="G52" s="35" t="str">
        <f ca="1">IF(OR(OR($A52="",$B52=""),AND($C52&lt;&gt;"",$D52&lt;&gt;"")),"",VLOOKUP(B52,IF({1,0},INDIRECT("达修波得!$"&amp;$E$1&amp;"$2:$"&amp;$E$1&amp;"$8"),达修波得!$A$2:$A$8),2,FALSE))</f>
        <v>爷</v>
      </c>
      <c r="H52" s="35" t="str">
        <f t="shared" ca="1" si="0"/>
        <v>贝爷</v>
      </c>
    </row>
    <row r="53" spans="1:8">
      <c r="B53" t="s">
        <v>79</v>
      </c>
      <c r="F53" s="35" t="str">
        <f ca="1">IF(OR(OR($A53="",$B53=""),AND($C53&lt;&gt;"",$D53&lt;&gt;"")),"",VLOOKUP(A53,IF({1,0},INDIRECT("达修波得!$"&amp;$E$1&amp;"$2:$"&amp;$E$1&amp;"$8"),达修波得!$A$2:$A$8),2,FALSE))</f>
        <v/>
      </c>
      <c r="G53" s="35" t="str">
        <f ca="1">IF(OR(OR($A53="",$B53=""),AND($C53&lt;&gt;"",$D53&lt;&gt;"")),"",VLOOKUP(B53,IF({1,0},INDIRECT("达修波得!$"&amp;$E$1&amp;"$2:$"&amp;$E$1&amp;"$8"),达修波得!$A$2:$A$8),2,FALSE))</f>
        <v/>
      </c>
      <c r="H53" s="35" t="str">
        <f t="shared" ca="1" si="0"/>
        <v/>
      </c>
    </row>
    <row r="54" spans="1:8">
      <c r="A54" t="s">
        <v>12</v>
      </c>
      <c r="B54" t="s">
        <v>41</v>
      </c>
      <c r="F54" s="35" t="str">
        <f ca="1">IF(OR(OR($A54="",$B54=""),AND($C54&lt;&gt;"",$D54&lt;&gt;"")),"",VLOOKUP(A54,IF({1,0},INDIRECT("达修波得!$"&amp;$E$1&amp;"$2:$"&amp;$E$1&amp;"$8"),达修波得!$A$2:$A$8),2,FALSE))</f>
        <v>宇</v>
      </c>
      <c r="G54" s="35" t="str">
        <f ca="1">IF(OR(OR($A54="",$B54=""),AND($C54&lt;&gt;"",$D54&lt;&gt;"")),"",VLOOKUP(B54,IF({1,0},INDIRECT("达修波得!$"&amp;$E$1&amp;"$2:$"&amp;$E$1&amp;"$8"),达修波得!$A$2:$A$8),2,FALSE))</f>
        <v>二</v>
      </c>
      <c r="H54" s="35" t="str">
        <f t="shared" ca="1" si="0"/>
        <v>宇二</v>
      </c>
    </row>
    <row r="55" spans="1:8">
      <c r="A55" t="s">
        <v>39</v>
      </c>
      <c r="B55" t="s">
        <v>102</v>
      </c>
      <c r="F55" s="35" t="str">
        <f ca="1">IF(OR(OR($A55="",$B55=""),AND($C55&lt;&gt;"",$D55&lt;&gt;"")),"",VLOOKUP(A55,IF({1,0},INDIRECT("达修波得!$"&amp;$E$1&amp;"$2:$"&amp;$E$1&amp;"$8"),达修波得!$A$2:$A$8),2,FALSE))</f>
        <v>黑</v>
      </c>
      <c r="G55" s="35" t="str">
        <f ca="1">IF(OR(OR($A55="",$B55=""),AND($C55&lt;&gt;"",$D55&lt;&gt;"")),"",VLOOKUP(B55,IF({1,0},INDIRECT("达修波得!$"&amp;$E$1&amp;"$2:$"&amp;$E$1&amp;"$8"),达修波得!$A$2:$A$8),2,FALSE))</f>
        <v>举</v>
      </c>
      <c r="H55" s="35" t="str">
        <f t="shared" ca="1" si="0"/>
        <v>黑举</v>
      </c>
    </row>
    <row r="56" spans="1:8">
      <c r="A56" s="4" t="s">
        <v>34</v>
      </c>
      <c r="F56" s="35" t="str">
        <f ca="1">IF(OR(OR($A56="",$B56=""),AND($C56&lt;&gt;"",$D56&lt;&gt;"")),"",VLOOKUP(A56,IF({1,0},INDIRECT("达修波得!$"&amp;$E$1&amp;"$2:$"&amp;$E$1&amp;"$8"),达修波得!$A$2:$A$8),2,FALSE))</f>
        <v/>
      </c>
      <c r="G56" s="35" t="str">
        <f ca="1">IF(OR(OR($A56="",$B56=""),AND($C56&lt;&gt;"",$D56&lt;&gt;"")),"",VLOOKUP(B56,IF({1,0},INDIRECT("达修波得!$"&amp;$E$1&amp;"$2:$"&amp;$E$1&amp;"$8"),达修波得!$A$2:$A$8),2,FALSE))</f>
        <v/>
      </c>
      <c r="H56" s="35" t="str">
        <f t="shared" ca="1" si="0"/>
        <v/>
      </c>
    </row>
    <row r="57" spans="1:8">
      <c r="B57" t="s">
        <v>40</v>
      </c>
      <c r="F57" s="35" t="str">
        <f ca="1">IF(OR(OR($A57="",$B57=""),AND($C57&lt;&gt;"",$D57&lt;&gt;"")),"",VLOOKUP(A57,IF({1,0},INDIRECT("达修波得!$"&amp;$E$1&amp;"$2:$"&amp;$E$1&amp;"$8"),达修波得!$A$2:$A$8),2,FALSE))</f>
        <v/>
      </c>
      <c r="G57" s="35" t="str">
        <f ca="1">IF(OR(OR($A57="",$B57=""),AND($C57&lt;&gt;"",$D57&lt;&gt;"")),"",VLOOKUP(B57,IF({1,0},INDIRECT("达修波得!$"&amp;$E$1&amp;"$2:$"&amp;$E$1&amp;"$8"),达修波得!$A$2:$A$8),2,FALSE))</f>
        <v/>
      </c>
      <c r="H57" s="35" t="str">
        <f t="shared" ca="1" si="0"/>
        <v/>
      </c>
    </row>
    <row r="58" spans="1:8">
      <c r="A58" t="s">
        <v>12</v>
      </c>
      <c r="B58" t="s">
        <v>103</v>
      </c>
      <c r="F58" s="35" t="str">
        <f ca="1">IF(OR(OR($A58="",$B58=""),AND($C58&lt;&gt;"",$D58&lt;&gt;"")),"",VLOOKUP(A58,IF({1,0},INDIRECT("达修波得!$"&amp;$E$1&amp;"$2:$"&amp;$E$1&amp;"$8"),达修波得!$A$2:$A$8),2,FALSE))</f>
        <v>宇</v>
      </c>
      <c r="G58" s="35" t="str">
        <f ca="1">IF(OR(OR($A58="",$B58=""),AND($C58&lt;&gt;"",$D58&lt;&gt;"")),"",VLOOKUP(B58,IF({1,0},INDIRECT("达修波得!$"&amp;$E$1&amp;"$2:$"&amp;$E$1&amp;"$8"),达修波得!$A$2:$A$8),2,FALSE))</f>
        <v>贝</v>
      </c>
      <c r="H58" s="35" t="str">
        <f t="shared" ca="1" si="0"/>
        <v>宇贝</v>
      </c>
    </row>
    <row r="59" spans="1:8">
      <c r="A59" t="s">
        <v>39</v>
      </c>
      <c r="B59" t="s">
        <v>79</v>
      </c>
      <c r="F59" s="35" t="str">
        <f ca="1">IF(OR(OR($A59="",$B59=""),AND($C59&lt;&gt;"",$D59&lt;&gt;"")),"",VLOOKUP(A59,IF({1,0},INDIRECT("达修波得!$"&amp;$E$1&amp;"$2:$"&amp;$E$1&amp;"$8"),达修波得!$A$2:$A$8),2,FALSE))</f>
        <v>黑</v>
      </c>
      <c r="G59" s="35" t="str">
        <f ca="1">IF(OR(OR($A59="",$B59=""),AND($C59&lt;&gt;"",$D59&lt;&gt;"")),"",VLOOKUP(B59,IF({1,0},INDIRECT("达修波得!$"&amp;$E$1&amp;"$2:$"&amp;$E$1&amp;"$8"),达修波得!$A$2:$A$8),2,FALSE))</f>
        <v>磊</v>
      </c>
      <c r="H59" s="35" t="str">
        <f t="shared" ca="1" si="0"/>
        <v>黑磊</v>
      </c>
    </row>
    <row r="60" spans="1:8">
      <c r="A60" t="s">
        <v>102</v>
      </c>
      <c r="B60" t="s">
        <v>41</v>
      </c>
      <c r="F60" s="35" t="str">
        <f ca="1">IF(OR(OR($A60="",$B60=""),AND($C60&lt;&gt;"",$D60&lt;&gt;"")),"",VLOOKUP(A60,IF({1,0},INDIRECT("达修波得!$"&amp;$E$1&amp;"$2:$"&amp;$E$1&amp;"$8"),达修波得!$A$2:$A$8),2,FALSE))</f>
        <v>举</v>
      </c>
      <c r="G60" s="35" t="str">
        <f ca="1">IF(OR(OR($A60="",$B60=""),AND($C60&lt;&gt;"",$D60&lt;&gt;"")),"",VLOOKUP(B60,IF({1,0},INDIRECT("达修波得!$"&amp;$E$1&amp;"$2:$"&amp;$E$1&amp;"$8"),达修波得!$A$2:$A$8),2,FALSE))</f>
        <v>二</v>
      </c>
      <c r="H60" s="35" t="str">
        <f t="shared" ca="1" si="0"/>
        <v>举二</v>
      </c>
    </row>
    <row r="61" spans="1:8">
      <c r="A61" s="4" t="s">
        <v>35</v>
      </c>
      <c r="F61" s="35" t="str">
        <f ca="1">IF(OR(OR($A61="",$B61=""),AND($C61&lt;&gt;"",$D61&lt;&gt;"")),"",VLOOKUP(A61,IF({1,0},INDIRECT("达修波得!$"&amp;$E$1&amp;"$2:$"&amp;$E$1&amp;"$8"),达修波得!$A$2:$A$8),2,FALSE))</f>
        <v/>
      </c>
      <c r="G61" s="35" t="str">
        <f ca="1">IF(OR(OR($A61="",$B61=""),AND($C61&lt;&gt;"",$D61&lt;&gt;"")),"",VLOOKUP(B61,IF({1,0},INDIRECT("达修波得!$"&amp;$E$1&amp;"$2:$"&amp;$E$1&amp;"$8"),达修波得!$A$2:$A$8),2,FALSE))</f>
        <v/>
      </c>
      <c r="H61" s="35" t="str">
        <f t="shared" ca="1" si="0"/>
        <v/>
      </c>
    </row>
    <row r="62" spans="1:8">
      <c r="A62" t="s">
        <v>12</v>
      </c>
      <c r="B62" t="s">
        <v>40</v>
      </c>
      <c r="F62" s="35" t="str">
        <f ca="1">IF(OR(OR($A62="",$B62=""),AND($C62&lt;&gt;"",$D62&lt;&gt;"")),"",VLOOKUP(A62,IF({1,0},INDIRECT("达修波得!$"&amp;$E$1&amp;"$2:$"&amp;$E$1&amp;"$8"),达修波得!$A$2:$A$8),2,FALSE))</f>
        <v>宇</v>
      </c>
      <c r="G62" s="35" t="str">
        <f ca="1">IF(OR(OR($A62="",$B62=""),AND($C62&lt;&gt;"",$D62&lt;&gt;"")),"",VLOOKUP(B62,IF({1,0},INDIRECT("达修波得!$"&amp;$E$1&amp;"$2:$"&amp;$E$1&amp;"$8"),达修波得!$A$2:$A$8),2,FALSE))</f>
        <v>爷</v>
      </c>
      <c r="H62" s="35" t="str">
        <f t="shared" ca="1" si="0"/>
        <v>宇爷</v>
      </c>
    </row>
    <row r="63" spans="1:8">
      <c r="A63" t="s">
        <v>39</v>
      </c>
      <c r="F63" s="35" t="str">
        <f ca="1">IF(OR(OR($A63="",$B63=""),AND($C63&lt;&gt;"",$D63&lt;&gt;"")),"",VLOOKUP(A63,IF({1,0},INDIRECT("达修波得!$"&amp;$E$1&amp;"$2:$"&amp;$E$1&amp;"$8"),达修波得!$A$2:$A$8),2,FALSE))</f>
        <v/>
      </c>
      <c r="G63" s="35" t="str">
        <f ca="1">IF(OR(OR($A63="",$B63=""),AND($C63&lt;&gt;"",$D63&lt;&gt;"")),"",VLOOKUP(B63,IF({1,0},INDIRECT("达修波得!$"&amp;$E$1&amp;"$2:$"&amp;$E$1&amp;"$8"),达修波得!$A$2:$A$8),2,FALSE))</f>
        <v/>
      </c>
      <c r="H63" s="35" t="str">
        <f t="shared" ca="1" si="0"/>
        <v/>
      </c>
    </row>
    <row r="64" spans="1:8">
      <c r="A64" t="s">
        <v>102</v>
      </c>
      <c r="B64" t="s">
        <v>103</v>
      </c>
      <c r="F64" s="35" t="str">
        <f ca="1">IF(OR(OR($A64="",$B64=""),AND($C64&lt;&gt;"",$D64&lt;&gt;"")),"",VLOOKUP(A64,IF({1,0},INDIRECT("达修波得!$"&amp;$E$1&amp;"$2:$"&amp;$E$1&amp;"$8"),达修波得!$A$2:$A$8),2,FALSE))</f>
        <v>举</v>
      </c>
      <c r="G64" s="35" t="str">
        <f ca="1">IF(OR(OR($A64="",$B64=""),AND($C64&lt;&gt;"",$D64&lt;&gt;"")),"",VLOOKUP(B64,IF({1,0},INDIRECT("达修波得!$"&amp;$E$1&amp;"$2:$"&amp;$E$1&amp;"$8"),达修波得!$A$2:$A$8),2,FALSE))</f>
        <v>贝</v>
      </c>
      <c r="H64" s="35" t="str">
        <f t="shared" ca="1" si="0"/>
        <v>举贝</v>
      </c>
    </row>
    <row r="65" spans="1:8">
      <c r="A65" t="s">
        <v>41</v>
      </c>
      <c r="B65" t="s">
        <v>79</v>
      </c>
      <c r="F65" s="35" t="str">
        <f ca="1">IF(OR(OR($A65="",$B65=""),AND($C65&lt;&gt;"",$D65&lt;&gt;"")),"",VLOOKUP(A65,IF({1,0},INDIRECT("达修波得!$"&amp;$E$1&amp;"$2:$"&amp;$E$1&amp;"$8"),达修波得!$A$2:$A$8),2,FALSE))</f>
        <v>二</v>
      </c>
      <c r="G65" s="35" t="str">
        <f ca="1">IF(OR(OR($A65="",$B65=""),AND($C65&lt;&gt;"",$D65&lt;&gt;"")),"",VLOOKUP(B65,IF({1,0},INDIRECT("达修波得!$"&amp;$E$1&amp;"$2:$"&amp;$E$1&amp;"$8"),达修波得!$A$2:$A$8),2,FALSE))</f>
        <v>磊</v>
      </c>
      <c r="H65" s="35" t="str">
        <f t="shared" ca="1" si="0"/>
        <v>二磊</v>
      </c>
    </row>
    <row r="66" spans="1:8">
      <c r="A66" s="4" t="s">
        <v>36</v>
      </c>
      <c r="F66" s="35" t="str">
        <f ca="1">IF(OR(OR($A66="",$B66=""),AND($C66&lt;&gt;"",$D66&lt;&gt;"")),"",VLOOKUP(A66,IF({1,0},INDIRECT("达修波得!$"&amp;$E$1&amp;"$2:$"&amp;$E$1&amp;"$8"),达修波得!$A$2:$A$8),2,FALSE))</f>
        <v/>
      </c>
      <c r="G66" s="35" t="str">
        <f ca="1">IF(OR(OR($A66="",$B66=""),AND($C66&lt;&gt;"",$D66&lt;&gt;"")),"",VLOOKUP(B66,IF({1,0},INDIRECT("达修波得!$"&amp;$E$1&amp;"$2:$"&amp;$E$1&amp;"$8"),达修波得!$A$2:$A$8),2,FALSE))</f>
        <v/>
      </c>
      <c r="H66" s="35" t="str">
        <f t="shared" ref="H66:H72" ca="1" si="1">F66&amp;G66</f>
        <v/>
      </c>
    </row>
    <row r="67" spans="1:8">
      <c r="A67" t="s">
        <v>39</v>
      </c>
      <c r="B67" t="s">
        <v>40</v>
      </c>
      <c r="F67" s="35" t="str">
        <f ca="1">IF(OR(OR($A67="",$B67=""),AND($C67&lt;&gt;"",$D67&lt;&gt;"")),"",VLOOKUP(A67,IF({1,0},INDIRECT("达修波得!$"&amp;$E$1&amp;"$2:$"&amp;$E$1&amp;"$8"),达修波得!$A$2:$A$8),2,FALSE))</f>
        <v>黑</v>
      </c>
      <c r="G67" s="35" t="str">
        <f ca="1">IF(OR(OR($A67="",$B67=""),AND($C67&lt;&gt;"",$D67&lt;&gt;"")),"",VLOOKUP(B67,IF({1,0},INDIRECT("达修波得!$"&amp;$E$1&amp;"$2:$"&amp;$E$1&amp;"$8"),达修波得!$A$2:$A$8),2,FALSE))</f>
        <v>爷</v>
      </c>
      <c r="H67" s="35" t="str">
        <f t="shared" ca="1" si="1"/>
        <v>黑爷</v>
      </c>
    </row>
    <row r="68" spans="1:8">
      <c r="A68" t="s">
        <v>102</v>
      </c>
      <c r="B68" t="s">
        <v>12</v>
      </c>
      <c r="F68" s="35" t="str">
        <f ca="1">IF(OR(OR($A68="",$B68=""),AND($C68&lt;&gt;"",$D68&lt;&gt;"")),"",VLOOKUP(A68,IF({1,0},INDIRECT("达修波得!$"&amp;$E$1&amp;"$2:$"&amp;$E$1&amp;"$8"),达修波得!$A$2:$A$8),2,FALSE))</f>
        <v>举</v>
      </c>
      <c r="G68" s="35" t="str">
        <f ca="1">IF(OR(OR($A68="",$B68=""),AND($C68&lt;&gt;"",$D68&lt;&gt;"")),"",VLOOKUP(B68,IF({1,0},INDIRECT("达修波得!$"&amp;$E$1&amp;"$2:$"&amp;$E$1&amp;"$8"),达修波得!$A$2:$A$8),2,FALSE))</f>
        <v>宇</v>
      </c>
      <c r="H68" s="35" t="str">
        <f t="shared" ca="1" si="1"/>
        <v>举宇</v>
      </c>
    </row>
    <row r="69" spans="1:8">
      <c r="A69" t="s">
        <v>41</v>
      </c>
      <c r="F69" s="35" t="str">
        <f ca="1">IF(OR(OR($A69="",$B69=""),AND($C69&lt;&gt;"",$D69&lt;&gt;"")),"",VLOOKUP(A69,IF({1,0},INDIRECT("达修波得!$"&amp;$E$1&amp;"$2:$"&amp;$E$1&amp;"$8"),达修波得!$A$2:$A$8),2,FALSE))</f>
        <v/>
      </c>
      <c r="G69" s="35" t="str">
        <f ca="1">IF(OR(OR($A69="",$B69=""),AND($C69&lt;&gt;"",$D69&lt;&gt;"")),"",VLOOKUP(B69,IF({1,0},INDIRECT("达修波得!$"&amp;$E$1&amp;"$2:$"&amp;$E$1&amp;"$8"),达修波得!$A$2:$A$8),2,FALSE))</f>
        <v/>
      </c>
      <c r="H69" s="35" t="str">
        <f t="shared" ca="1" si="1"/>
        <v/>
      </c>
    </row>
    <row r="70" spans="1:8">
      <c r="A70" t="s">
        <v>79</v>
      </c>
      <c r="B70" t="s">
        <v>103</v>
      </c>
      <c r="F70" s="35" t="str">
        <f ca="1">IF(OR(OR($A70="",$B70=""),AND($C70&lt;&gt;"",$D70&lt;&gt;"")),"",VLOOKUP(A70,IF({1,0},INDIRECT("达修波得!$"&amp;$E$1&amp;"$2:$"&amp;$E$1&amp;"$8"),达修波得!$A$2:$A$8),2,FALSE))</f>
        <v>磊</v>
      </c>
      <c r="G70" s="35" t="str">
        <f ca="1">IF(OR(OR($A70="",$B70=""),AND($C70&lt;&gt;"",$D70&lt;&gt;"")),"",VLOOKUP(B70,IF({1,0},INDIRECT("达修波得!$"&amp;$E$1&amp;"$2:$"&amp;$E$1&amp;"$8"),达修波得!$A$2:$A$8),2,FALSE))</f>
        <v>贝</v>
      </c>
      <c r="H70" s="35" t="str">
        <f t="shared" ca="1" si="1"/>
        <v>磊贝</v>
      </c>
    </row>
    <row r="71" spans="1:8">
      <c r="F71" s="35" t="str">
        <f ca="1">IF(OR(OR($A71="",$B71=""),AND($C71&lt;&gt;"",$D71&lt;&gt;"")),"",VLOOKUP(A71,IF({1,0},INDIRECT("达修波得!$"&amp;$E$1&amp;"$2:$"&amp;$E$1&amp;"$8"),达修波得!$A$2:$A$8),2,FALSE))</f>
        <v/>
      </c>
      <c r="G71" s="35" t="str">
        <f ca="1">IF(OR(OR($A71="",$B71=""),AND($C71&lt;&gt;"",$D71&lt;&gt;"")),"",VLOOKUP(B71,IF({1,0},INDIRECT("达修波得!$"&amp;$E$1&amp;"$2:$"&amp;$E$1&amp;"$8"),达修波得!$A$2:$A$8),2,FALSE))</f>
        <v/>
      </c>
      <c r="H71" s="35" t="str">
        <f t="shared" ca="1" si="1"/>
        <v/>
      </c>
    </row>
    <row r="72" spans="1:8">
      <c r="F72" s="35" t="str">
        <f ca="1">IF(OR(OR($A72="",$B72=""),AND($C72&lt;&gt;"",$D72&lt;&gt;"")),"",VLOOKUP(A72,IF({1,0},INDIRECT("达修波得!$"&amp;$E$1&amp;"$2:$"&amp;$E$1&amp;"$8"),达修波得!$A$2:$A$8),2,FALSE))</f>
        <v/>
      </c>
      <c r="G72" s="35" t="str">
        <f ca="1">IF(OR(OR($A72="",$B72=""),AND($C72&lt;&gt;"",$D72&lt;&gt;"")),"",VLOOKUP(B72,IF({1,0},INDIRECT("达修波得!$"&amp;$E$1&amp;"$2:$"&amp;$E$1&amp;"$8"),达修波得!$A$2:$A$8),2,FALSE))</f>
        <v/>
      </c>
      <c r="H72" s="35" t="str">
        <f t="shared" ca="1" si="1"/>
        <v/>
      </c>
    </row>
    <row r="73" spans="1:8">
      <c r="H73" s="35" t="str">
        <f t="shared" ref="H73:H93" si="2">F73&amp;G73</f>
        <v/>
      </c>
    </row>
    <row r="74" spans="1:8">
      <c r="H74" s="35" t="str">
        <f t="shared" si="2"/>
        <v/>
      </c>
    </row>
    <row r="75" spans="1:8">
      <c r="H75" s="35" t="str">
        <f t="shared" si="2"/>
        <v/>
      </c>
    </row>
    <row r="76" spans="1:8">
      <c r="H76" s="35" t="str">
        <f t="shared" si="2"/>
        <v/>
      </c>
    </row>
    <row r="77" spans="1:8">
      <c r="H77" s="35" t="str">
        <f t="shared" si="2"/>
        <v/>
      </c>
    </row>
    <row r="78" spans="1:8">
      <c r="H78" s="35" t="str">
        <f t="shared" si="2"/>
        <v/>
      </c>
    </row>
    <row r="79" spans="1:8">
      <c r="H79" s="35" t="str">
        <f t="shared" si="2"/>
        <v/>
      </c>
    </row>
    <row r="80" spans="1:8">
      <c r="H80" s="35" t="str">
        <f t="shared" si="2"/>
        <v/>
      </c>
    </row>
    <row r="81" spans="8:8">
      <c r="H81" s="35" t="str">
        <f t="shared" si="2"/>
        <v/>
      </c>
    </row>
    <row r="82" spans="8:8">
      <c r="H82" s="35" t="str">
        <f t="shared" si="2"/>
        <v/>
      </c>
    </row>
    <row r="83" spans="8:8">
      <c r="H83" s="35" t="str">
        <f t="shared" si="2"/>
        <v/>
      </c>
    </row>
    <row r="84" spans="8:8">
      <c r="H84" s="35" t="str">
        <f t="shared" si="2"/>
        <v/>
      </c>
    </row>
    <row r="85" spans="8:8">
      <c r="H85" s="35" t="str">
        <f t="shared" si="2"/>
        <v/>
      </c>
    </row>
    <row r="86" spans="8:8">
      <c r="H86" s="35" t="str">
        <f t="shared" si="2"/>
        <v/>
      </c>
    </row>
    <row r="87" spans="8:8">
      <c r="H87" s="35" t="str">
        <f t="shared" si="2"/>
        <v/>
      </c>
    </row>
    <row r="88" spans="8:8">
      <c r="H88" s="35" t="str">
        <f t="shared" si="2"/>
        <v/>
      </c>
    </row>
    <row r="89" spans="8:8">
      <c r="H89" s="35" t="str">
        <f t="shared" si="2"/>
        <v/>
      </c>
    </row>
    <row r="90" spans="8:8">
      <c r="H90" s="35" t="str">
        <f t="shared" si="2"/>
        <v/>
      </c>
    </row>
    <row r="91" spans="8:8">
      <c r="H91" s="35" t="str">
        <f t="shared" si="2"/>
        <v/>
      </c>
    </row>
    <row r="92" spans="8:8">
      <c r="H92" s="35" t="str">
        <f t="shared" si="2"/>
        <v/>
      </c>
    </row>
    <row r="93" spans="8:8">
      <c r="H93" s="35" t="str">
        <f t="shared" si="2"/>
        <v/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7"/>
  <dimension ref="A1:H93"/>
  <sheetViews>
    <sheetView workbookViewId="0">
      <selection activeCell="B16" sqref="B16"/>
    </sheetView>
  </sheetViews>
  <sheetFormatPr defaultRowHeight="13.5"/>
  <cols>
    <col min="1" max="2" width="15.125" bestFit="1" customWidth="1"/>
    <col min="3" max="4" width="2.5" bestFit="1" customWidth="1"/>
    <col min="6" max="7" width="3.375" style="35" bestFit="1" customWidth="1"/>
    <col min="8" max="8" width="5.25" style="35" bestFit="1" customWidth="1"/>
  </cols>
  <sheetData>
    <row r="1" spans="1:8">
      <c r="A1" s="4" t="s">
        <v>9</v>
      </c>
      <c r="C1" s="5" t="s">
        <v>2</v>
      </c>
      <c r="D1" s="5"/>
      <c r="E1" s="37" t="s">
        <v>64</v>
      </c>
      <c r="F1" s="35" t="str">
        <f ca="1">IF(OR(OR($A1="",$B1=""),AND($C1&lt;&gt;"",$D1&lt;&gt;"")),"",VLOOKUP(A1,IF({1,0},INDIRECT("达修波得!$"&amp;$E$1&amp;"$2:$"&amp;$E$1&amp;"$8"),达修波得!$A$2:$A$8),2,FALSE))</f>
        <v/>
      </c>
      <c r="G1" s="35" t="str">
        <f ca="1">IF(OR(OR($A1="",$B1=""),AND($C1&lt;&gt;"",$D1&lt;&gt;"")),"",VLOOKUP(B1,IF({1,0},INDIRECT("达修波得!$"&amp;$E$1&amp;"$2:$"&amp;$E$1&amp;"$8"),达修波得!$A$2:$A$8),2,FALSE))</f>
        <v/>
      </c>
      <c r="H1" s="35" t="str">
        <f ca="1">F1&amp;G1</f>
        <v/>
      </c>
    </row>
    <row r="2" spans="1:8">
      <c r="A2" t="s">
        <v>72</v>
      </c>
      <c r="B2" t="s">
        <v>63</v>
      </c>
      <c r="F2" s="35" t="e">
        <f ca="1">IF(OR(OR($A2="",$B2=""),AND($C2&lt;&gt;"",$D2&lt;&gt;"")),"",VLOOKUP(A2,IF({1,0},INDIRECT("达修波得!$"&amp;$E$1&amp;"$2:$"&amp;$E$1&amp;"$8"),达修波得!$A$2:$A$8),2,FALSE))</f>
        <v>#N/A</v>
      </c>
      <c r="G2" s="35" t="e">
        <f ca="1">IF(OR(OR($A2="",$B2=""),AND($C2&lt;&gt;"",$D2&lt;&gt;"")),"",VLOOKUP(B2,IF({1,0},INDIRECT("达修波得!$"&amp;$E$1&amp;"$2:$"&amp;$E$1&amp;"$8"),达修波得!$A$2:$A$8),2,FALSE))</f>
        <v>#N/A</v>
      </c>
      <c r="H2" s="35" t="e">
        <f t="shared" ref="H2:H65" ca="1" si="0">F2&amp;G2</f>
        <v>#N/A</v>
      </c>
    </row>
    <row r="3" spans="1:8">
      <c r="A3" t="s">
        <v>73</v>
      </c>
      <c r="B3" t="s">
        <v>62</v>
      </c>
      <c r="F3" s="35" t="e">
        <f ca="1">IF(OR(OR($A3="",$B3=""),AND($C3&lt;&gt;"",$D3&lt;&gt;"")),"",VLOOKUP(A3,IF({1,0},INDIRECT("达修波得!$"&amp;$E$1&amp;"$2:$"&amp;$E$1&amp;"$8"),达修波得!$A$2:$A$8),2,FALSE))</f>
        <v>#N/A</v>
      </c>
      <c r="G3" s="35" t="e">
        <f ca="1">IF(OR(OR($A3="",$B3=""),AND($C3&lt;&gt;"",$D3&lt;&gt;"")),"",VLOOKUP(B3,IF({1,0},INDIRECT("达修波得!$"&amp;$E$1&amp;"$2:$"&amp;$E$1&amp;"$8"),达修波得!$A$2:$A$8),2,FALSE))</f>
        <v>#N/A</v>
      </c>
      <c r="H3" s="35" t="e">
        <f t="shared" ca="1" si="0"/>
        <v>#N/A</v>
      </c>
    </row>
    <row r="4" spans="1:8">
      <c r="B4" t="s">
        <v>13</v>
      </c>
      <c r="F4" s="35" t="str">
        <f ca="1">IF(OR(OR($A4="",$B4=""),AND($C4&lt;&gt;"",$D4&lt;&gt;"")),"",VLOOKUP(A4,IF({1,0},INDIRECT("达修波得!$"&amp;$E$1&amp;"$2:$"&amp;$E$1&amp;"$8"),达修波得!$A$2:$A$8),2,FALSE))</f>
        <v/>
      </c>
      <c r="G4" s="35" t="str">
        <f ca="1">IF(OR(OR($A4="",$B4=""),AND($C4&lt;&gt;"",$D4&lt;&gt;"")),"",VLOOKUP(B4,IF({1,0},INDIRECT("达修波得!$"&amp;$E$1&amp;"$2:$"&amp;$E$1&amp;"$8"),达修波得!$A$2:$A$8),2,FALSE))</f>
        <v/>
      </c>
      <c r="H4" s="35" t="str">
        <f t="shared" ca="1" si="0"/>
        <v/>
      </c>
    </row>
    <row r="5" spans="1:8">
      <c r="A5" t="s">
        <v>38</v>
      </c>
      <c r="B5" t="s">
        <v>41</v>
      </c>
      <c r="F5" s="35" t="e">
        <f ca="1">IF(OR(OR($A5="",$B5=""),AND($C5&lt;&gt;"",$D5&lt;&gt;"")),"",VLOOKUP(A5,IF({1,0},INDIRECT("达修波得!$"&amp;$E$1&amp;"$2:$"&amp;$E$1&amp;"$8"),达修波得!$A$2:$A$8),2,FALSE))</f>
        <v>#N/A</v>
      </c>
      <c r="G5" s="35" t="e">
        <f ca="1">IF(OR(OR($A5="",$B5=""),AND($C5&lt;&gt;"",$D5&lt;&gt;"")),"",VLOOKUP(B5,IF({1,0},INDIRECT("达修波得!$"&amp;$E$1&amp;"$2:$"&amp;$E$1&amp;"$8"),达修波得!$A$2:$A$8),2,FALSE))</f>
        <v>#N/A</v>
      </c>
      <c r="H5" s="35" t="e">
        <f t="shared" ca="1" si="0"/>
        <v>#N/A</v>
      </c>
    </row>
    <row r="6" spans="1:8">
      <c r="A6" s="4" t="s">
        <v>10</v>
      </c>
      <c r="F6" s="35" t="str">
        <f ca="1">IF(OR(OR($A6="",$B6=""),AND($C6&lt;&gt;"",$D6&lt;&gt;"")),"",VLOOKUP(A6,IF({1,0},INDIRECT("达修波得!$"&amp;$E$1&amp;"$2:$"&amp;$E$1&amp;"$8"),达修波得!$A$2:$A$8),2,FALSE))</f>
        <v/>
      </c>
      <c r="G6" s="35" t="str">
        <f ca="1">IF(OR(OR($A6="",$B6=""),AND($C6&lt;&gt;"",$D6&lt;&gt;"")),"",VLOOKUP(B6,IF({1,0},INDIRECT("达修波得!$"&amp;$E$1&amp;"$2:$"&amp;$E$1&amp;"$8"),达修波得!$A$2:$A$8),2,FALSE))</f>
        <v/>
      </c>
      <c r="H6" s="35" t="str">
        <f t="shared" ca="1" si="0"/>
        <v/>
      </c>
    </row>
    <row r="7" spans="1:8">
      <c r="A7" t="s">
        <v>72</v>
      </c>
      <c r="B7" t="s">
        <v>62</v>
      </c>
      <c r="F7" s="35" t="e">
        <f ca="1">IF(OR(OR($A7="",$B7=""),AND($C7&lt;&gt;"",$D7&lt;&gt;"")),"",VLOOKUP(A7,IF({1,0},INDIRECT("达修波得!$"&amp;$E$1&amp;"$2:$"&amp;$E$1&amp;"$8"),达修波得!$A$2:$A$8),2,FALSE))</f>
        <v>#N/A</v>
      </c>
      <c r="G7" s="35" t="e">
        <f ca="1">IF(OR(OR($A7="",$B7=""),AND($C7&lt;&gt;"",$D7&lt;&gt;"")),"",VLOOKUP(B7,IF({1,0},INDIRECT("达修波得!$"&amp;$E$1&amp;"$2:$"&amp;$E$1&amp;"$8"),达修波得!$A$2:$A$8),2,FALSE))</f>
        <v>#N/A</v>
      </c>
      <c r="H7" s="35" t="e">
        <f t="shared" ca="1" si="0"/>
        <v>#N/A</v>
      </c>
    </row>
    <row r="8" spans="1:8">
      <c r="A8" t="s">
        <v>63</v>
      </c>
      <c r="B8" t="s">
        <v>13</v>
      </c>
      <c r="F8" s="35" t="e">
        <f ca="1">IF(OR(OR($A8="",$B8=""),AND($C8&lt;&gt;"",$D8&lt;&gt;"")),"",VLOOKUP(A8,IF({1,0},INDIRECT("达修波得!$"&amp;$E$1&amp;"$2:$"&amp;$E$1&amp;"$8"),达修波得!$A$2:$A$8),2,FALSE))</f>
        <v>#N/A</v>
      </c>
      <c r="G8" s="35" t="e">
        <f ca="1">IF(OR(OR($A8="",$B8=""),AND($C8&lt;&gt;"",$D8&lt;&gt;"")),"",VLOOKUP(B8,IF({1,0},INDIRECT("达修波得!$"&amp;$E$1&amp;"$2:$"&amp;$E$1&amp;"$8"),达修波得!$A$2:$A$8),2,FALSE))</f>
        <v>#N/A</v>
      </c>
      <c r="H8" s="35" t="e">
        <f t="shared" ca="1" si="0"/>
        <v>#N/A</v>
      </c>
    </row>
    <row r="9" spans="1:8">
      <c r="A9" t="s">
        <v>73</v>
      </c>
      <c r="B9" t="s">
        <v>41</v>
      </c>
      <c r="F9" s="35" t="e">
        <f ca="1">IF(OR(OR($A9="",$B9=""),AND($C9&lt;&gt;"",$D9&lt;&gt;"")),"",VLOOKUP(A9,IF({1,0},INDIRECT("达修波得!$"&amp;$E$1&amp;"$2:$"&amp;$E$1&amp;"$8"),达修波得!$A$2:$A$8),2,FALSE))</f>
        <v>#N/A</v>
      </c>
      <c r="G9" s="35" t="e">
        <f ca="1">IF(OR(OR($A9="",$B9=""),AND($C9&lt;&gt;"",$D9&lt;&gt;"")),"",VLOOKUP(B9,IF({1,0},INDIRECT("达修波得!$"&amp;$E$1&amp;"$2:$"&amp;$E$1&amp;"$8"),达修波得!$A$2:$A$8),2,FALSE))</f>
        <v>#N/A</v>
      </c>
      <c r="H9" s="35" t="e">
        <f t="shared" ca="1" si="0"/>
        <v>#N/A</v>
      </c>
    </row>
    <row r="10" spans="1:8">
      <c r="B10" t="s">
        <v>38</v>
      </c>
      <c r="F10" s="35" t="str">
        <f ca="1">IF(OR(OR($A10="",$B10=""),AND($C10&lt;&gt;"",$D10&lt;&gt;"")),"",VLOOKUP(A10,IF({1,0},INDIRECT("达修波得!$"&amp;$E$1&amp;"$2:$"&amp;$E$1&amp;"$8"),达修波得!$A$2:$A$8),2,FALSE))</f>
        <v/>
      </c>
      <c r="G10" s="35" t="str">
        <f ca="1">IF(OR(OR($A10="",$B10=""),AND($C10&lt;&gt;"",$D10&lt;&gt;"")),"",VLOOKUP(B10,IF({1,0},INDIRECT("达修波得!$"&amp;$E$1&amp;"$2:$"&amp;$E$1&amp;"$8"),达修波得!$A$2:$A$8),2,FALSE))</f>
        <v/>
      </c>
      <c r="H10" s="35" t="str">
        <f t="shared" ca="1" si="0"/>
        <v/>
      </c>
    </row>
    <row r="11" spans="1:8">
      <c r="A11" s="4" t="s">
        <v>11</v>
      </c>
      <c r="F11" s="35" t="str">
        <f ca="1">IF(OR(OR($A11="",$B11=""),AND($C11&lt;&gt;"",$D11&lt;&gt;"")),"",VLOOKUP(A11,IF({1,0},INDIRECT("达修波得!$"&amp;$E$1&amp;"$2:$"&amp;$E$1&amp;"$8"),达修波得!$A$2:$A$8),2,FALSE))</f>
        <v/>
      </c>
      <c r="G11" s="35" t="str">
        <f ca="1">IF(OR(OR($A11="",$B11=""),AND($C11&lt;&gt;"",$D11&lt;&gt;"")),"",VLOOKUP(B11,IF({1,0},INDIRECT("达修波得!$"&amp;$E$1&amp;"$2:$"&amp;$E$1&amp;"$8"),达修波得!$A$2:$A$8),2,FALSE))</f>
        <v/>
      </c>
      <c r="H11" s="35" t="str">
        <f t="shared" ca="1" si="0"/>
        <v/>
      </c>
    </row>
    <row r="12" spans="1:8">
      <c r="A12" t="s">
        <v>72</v>
      </c>
      <c r="B12" t="s">
        <v>13</v>
      </c>
      <c r="F12" s="35" t="e">
        <f ca="1">IF(OR(OR($A12="",$B12=""),AND($C12&lt;&gt;"",$D12&lt;&gt;"")),"",VLOOKUP(A12,IF({1,0},INDIRECT("达修波得!$"&amp;$E$1&amp;"$2:$"&amp;$E$1&amp;"$8"),达修波得!$A$2:$A$8),2,FALSE))</f>
        <v>#N/A</v>
      </c>
      <c r="G12" s="35" t="e">
        <f ca="1">IF(OR(OR($A12="",$B12=""),AND($C12&lt;&gt;"",$D12&lt;&gt;"")),"",VLOOKUP(B12,IF({1,0},INDIRECT("达修波得!$"&amp;$E$1&amp;"$2:$"&amp;$E$1&amp;"$8"),达修波得!$A$2:$A$8),2,FALSE))</f>
        <v>#N/A</v>
      </c>
      <c r="H12" s="35" t="e">
        <f t="shared" ca="1" si="0"/>
        <v>#N/A</v>
      </c>
    </row>
    <row r="13" spans="1:8">
      <c r="A13" t="s">
        <v>62</v>
      </c>
      <c r="B13" t="s">
        <v>41</v>
      </c>
      <c r="F13" s="35" t="e">
        <f ca="1">IF(OR(OR($A13="",$B13=""),AND($C13&lt;&gt;"",$D13&lt;&gt;"")),"",VLOOKUP(A13,IF({1,0},INDIRECT("达修波得!$"&amp;$E$1&amp;"$2:$"&amp;$E$1&amp;"$8"),达修波得!$A$2:$A$8),2,FALSE))</f>
        <v>#N/A</v>
      </c>
      <c r="G13" s="35" t="e">
        <f ca="1">IF(OR(OR($A13="",$B13=""),AND($C13&lt;&gt;"",$D13&lt;&gt;"")),"",VLOOKUP(B13,IF({1,0},INDIRECT("达修波得!$"&amp;$E$1&amp;"$2:$"&amp;$E$1&amp;"$8"),达修波得!$A$2:$A$8),2,FALSE))</f>
        <v>#N/A</v>
      </c>
      <c r="H13" s="35" t="e">
        <f t="shared" ca="1" si="0"/>
        <v>#N/A</v>
      </c>
    </row>
    <row r="14" spans="1:8">
      <c r="A14" t="s">
        <v>63</v>
      </c>
      <c r="B14" t="s">
        <v>38</v>
      </c>
      <c r="F14" s="35" t="e">
        <f ca="1">IF(OR(OR($A14="",$B14=""),AND($C14&lt;&gt;"",$D14&lt;&gt;"")),"",VLOOKUP(A14,IF({1,0},INDIRECT("达修波得!$"&amp;$E$1&amp;"$2:$"&amp;$E$1&amp;"$8"),达修波得!$A$2:$A$8),2,FALSE))</f>
        <v>#N/A</v>
      </c>
      <c r="G14" s="35" t="e">
        <f ca="1">IF(OR(OR($A14="",$B14=""),AND($C14&lt;&gt;"",$D14&lt;&gt;"")),"",VLOOKUP(B14,IF({1,0},INDIRECT("达修波得!$"&amp;$E$1&amp;"$2:$"&amp;$E$1&amp;"$8"),达修波得!$A$2:$A$8),2,FALSE))</f>
        <v>#N/A</v>
      </c>
      <c r="H14" s="35" t="e">
        <f t="shared" ca="1" si="0"/>
        <v>#N/A</v>
      </c>
    </row>
    <row r="15" spans="1:8">
      <c r="A15" t="s">
        <v>73</v>
      </c>
      <c r="F15" s="35" t="str">
        <f ca="1">IF(OR(OR($A15="",$B15=""),AND($C15&lt;&gt;"",$D15&lt;&gt;"")),"",VLOOKUP(A15,IF({1,0},INDIRECT("达修波得!$"&amp;$E$1&amp;"$2:$"&amp;$E$1&amp;"$8"),达修波得!$A$2:$A$8),2,FALSE))</f>
        <v/>
      </c>
      <c r="G15" s="35" t="str">
        <f ca="1">IF(OR(OR($A15="",$B15=""),AND($C15&lt;&gt;"",$D15&lt;&gt;"")),"",VLOOKUP(B15,IF({1,0},INDIRECT("达修波得!$"&amp;$E$1&amp;"$2:$"&amp;$E$1&amp;"$8"),达修波得!$A$2:$A$8),2,FALSE))</f>
        <v/>
      </c>
      <c r="H15" s="35" t="str">
        <f t="shared" ca="1" si="0"/>
        <v/>
      </c>
    </row>
    <row r="16" spans="1:8">
      <c r="A16" s="4" t="s">
        <v>15</v>
      </c>
      <c r="F16" s="35" t="str">
        <f ca="1">IF(OR(OR($A16="",$B16=""),AND($C16&lt;&gt;"",$D16&lt;&gt;"")),"",VLOOKUP(A16,IF({1,0},INDIRECT("达修波得!$"&amp;$E$1&amp;"$2:$"&amp;$E$1&amp;"$8"),达修波得!$A$2:$A$8),2,FALSE))</f>
        <v/>
      </c>
      <c r="G16" s="35" t="str">
        <f ca="1">IF(OR(OR($A16="",$B16=""),AND($C16&lt;&gt;"",$D16&lt;&gt;"")),"",VLOOKUP(B16,IF({1,0},INDIRECT("达修波得!$"&amp;$E$1&amp;"$2:$"&amp;$E$1&amp;"$8"),达修波得!$A$2:$A$8),2,FALSE))</f>
        <v/>
      </c>
      <c r="H16" s="35" t="str">
        <f t="shared" ca="1" si="0"/>
        <v/>
      </c>
    </row>
    <row r="17" spans="1:8">
      <c r="A17" t="s">
        <v>72</v>
      </c>
      <c r="B17" t="s">
        <v>41</v>
      </c>
      <c r="F17" s="35" t="e">
        <f ca="1">IF(OR(OR($A17="",$B17=""),AND($C17&lt;&gt;"",$D17&lt;&gt;"")),"",VLOOKUP(A17,IF({1,0},INDIRECT("达修波得!$"&amp;$E$1&amp;"$2:$"&amp;$E$1&amp;"$8"),达修波得!$A$2:$A$8),2,FALSE))</f>
        <v>#N/A</v>
      </c>
      <c r="G17" s="35" t="e">
        <f ca="1">IF(OR(OR($A17="",$B17=""),AND($C17&lt;&gt;"",$D17&lt;&gt;"")),"",VLOOKUP(B17,IF({1,0},INDIRECT("达修波得!$"&amp;$E$1&amp;"$2:$"&amp;$E$1&amp;"$8"),达修波得!$A$2:$A$8),2,FALSE))</f>
        <v>#N/A</v>
      </c>
      <c r="H17" s="35" t="e">
        <f t="shared" ca="1" si="0"/>
        <v>#N/A</v>
      </c>
    </row>
    <row r="18" spans="1:8">
      <c r="A18" t="s">
        <v>13</v>
      </c>
      <c r="B18" t="s">
        <v>38</v>
      </c>
      <c r="F18" s="35" t="e">
        <f ca="1">IF(OR(OR($A18="",$B18=""),AND($C18&lt;&gt;"",$D18&lt;&gt;"")),"",VLOOKUP(A18,IF({1,0},INDIRECT("达修波得!$"&amp;$E$1&amp;"$2:$"&amp;$E$1&amp;"$8"),达修波得!$A$2:$A$8),2,FALSE))</f>
        <v>#N/A</v>
      </c>
      <c r="G18" s="35" t="e">
        <f ca="1">IF(OR(OR($A18="",$B18=""),AND($C18&lt;&gt;"",$D18&lt;&gt;"")),"",VLOOKUP(B18,IF({1,0},INDIRECT("达修波得!$"&amp;$E$1&amp;"$2:$"&amp;$E$1&amp;"$8"),达修波得!$A$2:$A$8),2,FALSE))</f>
        <v>#N/A</v>
      </c>
      <c r="H18" s="35" t="e">
        <f t="shared" ca="1" si="0"/>
        <v>#N/A</v>
      </c>
    </row>
    <row r="19" spans="1:8">
      <c r="A19" t="s">
        <v>62</v>
      </c>
      <c r="F19" s="35" t="str">
        <f ca="1">IF(OR(OR($A19="",$B19=""),AND($C19&lt;&gt;"",$D19&lt;&gt;"")),"",VLOOKUP(A19,IF({1,0},INDIRECT("达修波得!$"&amp;$E$1&amp;"$2:$"&amp;$E$1&amp;"$8"),达修波得!$A$2:$A$8),2,FALSE))</f>
        <v/>
      </c>
      <c r="G19" s="35" t="str">
        <f ca="1">IF(OR(OR($A19="",$B19=""),AND($C19&lt;&gt;"",$D19&lt;&gt;"")),"",VLOOKUP(B19,IF({1,0},INDIRECT("达修波得!$"&amp;$E$1&amp;"$2:$"&amp;$E$1&amp;"$8"),达修波得!$A$2:$A$8),2,FALSE))</f>
        <v/>
      </c>
      <c r="H19" s="35" t="str">
        <f t="shared" ca="1" si="0"/>
        <v/>
      </c>
    </row>
    <row r="20" spans="1:8">
      <c r="A20" t="s">
        <v>63</v>
      </c>
      <c r="B20" t="s">
        <v>73</v>
      </c>
      <c r="F20" s="35" t="e">
        <f ca="1">IF(OR(OR($A20="",$B20=""),AND($C20&lt;&gt;"",$D20&lt;&gt;"")),"",VLOOKUP(A20,IF({1,0},INDIRECT("达修波得!$"&amp;$E$1&amp;"$2:$"&amp;$E$1&amp;"$8"),达修波得!$A$2:$A$8),2,FALSE))</f>
        <v>#N/A</v>
      </c>
      <c r="G20" s="35" t="e">
        <f ca="1">IF(OR(OR($A20="",$B20=""),AND($C20&lt;&gt;"",$D20&lt;&gt;"")),"",VLOOKUP(B20,IF({1,0},INDIRECT("达修波得!$"&amp;$E$1&amp;"$2:$"&amp;$E$1&amp;"$8"),达修波得!$A$2:$A$8),2,FALSE))</f>
        <v>#N/A</v>
      </c>
      <c r="H20" s="35" t="e">
        <f t="shared" ca="1" si="0"/>
        <v>#N/A</v>
      </c>
    </row>
    <row r="21" spans="1:8">
      <c r="A21" s="4" t="s">
        <v>16</v>
      </c>
      <c r="F21" s="35" t="str">
        <f ca="1">IF(OR(OR($A21="",$B21=""),AND($C21&lt;&gt;"",$D21&lt;&gt;"")),"",VLOOKUP(A21,IF({1,0},INDIRECT("达修波得!$"&amp;$E$1&amp;"$2:$"&amp;$E$1&amp;"$8"),达修波得!$A$2:$A$8),2,FALSE))</f>
        <v/>
      </c>
      <c r="G21" s="35" t="str">
        <f ca="1">IF(OR(OR($A21="",$B21=""),AND($C21&lt;&gt;"",$D21&lt;&gt;"")),"",VLOOKUP(B21,IF({1,0},INDIRECT("达修波得!$"&amp;$E$1&amp;"$2:$"&amp;$E$1&amp;"$8"),达修波得!$A$2:$A$8),2,FALSE))</f>
        <v/>
      </c>
      <c r="H21" s="35" t="str">
        <f t="shared" ca="1" si="0"/>
        <v/>
      </c>
    </row>
    <row r="22" spans="1:8">
      <c r="A22" t="s">
        <v>72</v>
      </c>
      <c r="B22" t="s">
        <v>38</v>
      </c>
      <c r="F22" s="35" t="e">
        <f ca="1">IF(OR(OR($A22="",$B22=""),AND($C22&lt;&gt;"",$D22&lt;&gt;"")),"",VLOOKUP(A22,IF({1,0},INDIRECT("达修波得!$"&amp;$E$1&amp;"$2:$"&amp;$E$1&amp;"$8"),达修波得!$A$2:$A$8),2,FALSE))</f>
        <v>#N/A</v>
      </c>
      <c r="G22" s="35" t="e">
        <f ca="1">IF(OR(OR($A22="",$B22=""),AND($C22&lt;&gt;"",$D22&lt;&gt;"")),"",VLOOKUP(B22,IF({1,0},INDIRECT("达修波得!$"&amp;$E$1&amp;"$2:$"&amp;$E$1&amp;"$8"),达修波得!$A$2:$A$8),2,FALSE))</f>
        <v>#N/A</v>
      </c>
      <c r="H22" s="35" t="e">
        <f t="shared" ca="1" si="0"/>
        <v>#N/A</v>
      </c>
    </row>
    <row r="23" spans="1:8">
      <c r="A23" t="s">
        <v>41</v>
      </c>
      <c r="F23" s="35" t="str">
        <f ca="1">IF(OR(OR($A23="",$B23=""),AND($C23&lt;&gt;"",$D23&lt;&gt;"")),"",VLOOKUP(A23,IF({1,0},INDIRECT("达修波得!$"&amp;$E$1&amp;"$2:$"&amp;$E$1&amp;"$8"),达修波得!$A$2:$A$8),2,FALSE))</f>
        <v/>
      </c>
      <c r="G23" s="35" t="str">
        <f ca="1">IF(OR(OR($A23="",$B23=""),AND($C23&lt;&gt;"",$D23&lt;&gt;"")),"",VLOOKUP(B23,IF({1,0},INDIRECT("达修波得!$"&amp;$E$1&amp;"$2:$"&amp;$E$1&amp;"$8"),达修波得!$A$2:$A$8),2,FALSE))</f>
        <v/>
      </c>
      <c r="H23" s="35" t="str">
        <f t="shared" ca="1" si="0"/>
        <v/>
      </c>
    </row>
    <row r="24" spans="1:8">
      <c r="A24" t="s">
        <v>13</v>
      </c>
      <c r="B24" t="s">
        <v>73</v>
      </c>
      <c r="F24" s="35" t="e">
        <f ca="1">IF(OR(OR($A24="",$B24=""),AND($C24&lt;&gt;"",$D24&lt;&gt;"")),"",VLOOKUP(A24,IF({1,0},INDIRECT("达修波得!$"&amp;$E$1&amp;"$2:$"&amp;$E$1&amp;"$8"),达修波得!$A$2:$A$8),2,FALSE))</f>
        <v>#N/A</v>
      </c>
      <c r="G24" s="35" t="e">
        <f ca="1">IF(OR(OR($A24="",$B24=""),AND($C24&lt;&gt;"",$D24&lt;&gt;"")),"",VLOOKUP(B24,IF({1,0},INDIRECT("达修波得!$"&amp;$E$1&amp;"$2:$"&amp;$E$1&amp;"$8"),达修波得!$A$2:$A$8),2,FALSE))</f>
        <v>#N/A</v>
      </c>
      <c r="H24" s="35" t="e">
        <f t="shared" ca="1" si="0"/>
        <v>#N/A</v>
      </c>
    </row>
    <row r="25" spans="1:8">
      <c r="A25" t="s">
        <v>62</v>
      </c>
      <c r="B25" t="s">
        <v>63</v>
      </c>
      <c r="F25" s="35" t="e">
        <f ca="1">IF(OR(OR($A25="",$B25=""),AND($C25&lt;&gt;"",$D25&lt;&gt;"")),"",VLOOKUP(A25,IF({1,0},INDIRECT("达修波得!$"&amp;$E$1&amp;"$2:$"&amp;$E$1&amp;"$8"),达修波得!$A$2:$A$8),2,FALSE))</f>
        <v>#N/A</v>
      </c>
      <c r="G25" s="35" t="e">
        <f ca="1">IF(OR(OR($A25="",$B25=""),AND($C25&lt;&gt;"",$D25&lt;&gt;"")),"",VLOOKUP(B25,IF({1,0},INDIRECT("达修波得!$"&amp;$E$1&amp;"$2:$"&amp;$E$1&amp;"$8"),达修波得!$A$2:$A$8),2,FALSE))</f>
        <v>#N/A</v>
      </c>
      <c r="H25" s="35" t="e">
        <f t="shared" ca="1" si="0"/>
        <v>#N/A</v>
      </c>
    </row>
    <row r="26" spans="1:8">
      <c r="A26" s="4" t="s">
        <v>17</v>
      </c>
      <c r="F26" s="35" t="str">
        <f ca="1">IF(OR(OR($A26="",$B26=""),AND($C26&lt;&gt;"",$D26&lt;&gt;"")),"",VLOOKUP(A26,IF({1,0},INDIRECT("达修波得!$"&amp;$E$1&amp;"$2:$"&amp;$E$1&amp;"$8"),达修波得!$A$2:$A$8),2,FALSE))</f>
        <v/>
      </c>
      <c r="G26" s="35" t="str">
        <f ca="1">IF(OR(OR($A26="",$B26=""),AND($C26&lt;&gt;"",$D26&lt;&gt;"")),"",VLOOKUP(B26,IF({1,0},INDIRECT("达修波得!$"&amp;$E$1&amp;"$2:$"&amp;$E$1&amp;"$8"),达修波得!$A$2:$A$8),2,FALSE))</f>
        <v/>
      </c>
      <c r="H26" s="35" t="str">
        <f t="shared" ca="1" si="0"/>
        <v/>
      </c>
    </row>
    <row r="27" spans="1:8">
      <c r="A27" t="s">
        <v>72</v>
      </c>
      <c r="F27" s="35" t="str">
        <f ca="1">IF(OR(OR($A27="",$B27=""),AND($C27&lt;&gt;"",$D27&lt;&gt;"")),"",VLOOKUP(A27,IF({1,0},INDIRECT("达修波得!$"&amp;$E$1&amp;"$2:$"&amp;$E$1&amp;"$8"),达修波得!$A$2:$A$8),2,FALSE))</f>
        <v/>
      </c>
      <c r="G27" s="35" t="str">
        <f ca="1">IF(OR(OR($A27="",$B27=""),AND($C27&lt;&gt;"",$D27&lt;&gt;"")),"",VLOOKUP(B27,IF({1,0},INDIRECT("达修波得!$"&amp;$E$1&amp;"$2:$"&amp;$E$1&amp;"$8"),达修波得!$A$2:$A$8),2,FALSE))</f>
        <v/>
      </c>
      <c r="H27" s="35" t="str">
        <f t="shared" ca="1" si="0"/>
        <v/>
      </c>
    </row>
    <row r="28" spans="1:8">
      <c r="A28" t="s">
        <v>38</v>
      </c>
      <c r="B28" t="s">
        <v>73</v>
      </c>
      <c r="F28" s="35" t="e">
        <f ca="1">IF(OR(OR($A28="",$B28=""),AND($C28&lt;&gt;"",$D28&lt;&gt;"")),"",VLOOKUP(A28,IF({1,0},INDIRECT("达修波得!$"&amp;$E$1&amp;"$2:$"&amp;$E$1&amp;"$8"),达修波得!$A$2:$A$8),2,FALSE))</f>
        <v>#N/A</v>
      </c>
      <c r="G28" s="35" t="e">
        <f ca="1">IF(OR(OR($A28="",$B28=""),AND($C28&lt;&gt;"",$D28&lt;&gt;"")),"",VLOOKUP(B28,IF({1,0},INDIRECT("达修波得!$"&amp;$E$1&amp;"$2:$"&amp;$E$1&amp;"$8"),达修波得!$A$2:$A$8),2,FALSE))</f>
        <v>#N/A</v>
      </c>
      <c r="H28" s="35" t="e">
        <f t="shared" ca="1" si="0"/>
        <v>#N/A</v>
      </c>
    </row>
    <row r="29" spans="1:8">
      <c r="A29" t="s">
        <v>41</v>
      </c>
      <c r="B29" t="s">
        <v>63</v>
      </c>
      <c r="F29" s="35" t="e">
        <f ca="1">IF(OR(OR($A29="",$B29=""),AND($C29&lt;&gt;"",$D29&lt;&gt;"")),"",VLOOKUP(A29,IF({1,0},INDIRECT("达修波得!$"&amp;$E$1&amp;"$2:$"&amp;$E$1&amp;"$8"),达修波得!$A$2:$A$8),2,FALSE))</f>
        <v>#N/A</v>
      </c>
      <c r="G29" s="35" t="e">
        <f ca="1">IF(OR(OR($A29="",$B29=""),AND($C29&lt;&gt;"",$D29&lt;&gt;"")),"",VLOOKUP(B29,IF({1,0},INDIRECT("达修波得!$"&amp;$E$1&amp;"$2:$"&amp;$E$1&amp;"$8"),达修波得!$A$2:$A$8),2,FALSE))</f>
        <v>#N/A</v>
      </c>
      <c r="H29" s="35" t="e">
        <f t="shared" ca="1" si="0"/>
        <v>#N/A</v>
      </c>
    </row>
    <row r="30" spans="1:8">
      <c r="A30" t="s">
        <v>13</v>
      </c>
      <c r="B30" t="s">
        <v>62</v>
      </c>
      <c r="F30" s="35" t="e">
        <f ca="1">IF(OR(OR($A30="",$B30=""),AND($C30&lt;&gt;"",$D30&lt;&gt;"")),"",VLOOKUP(A30,IF({1,0},INDIRECT("达修波得!$"&amp;$E$1&amp;"$2:$"&amp;$E$1&amp;"$8"),达修波得!$A$2:$A$8),2,FALSE))</f>
        <v>#N/A</v>
      </c>
      <c r="G30" s="35" t="e">
        <f ca="1">IF(OR(OR($A30="",$B30=""),AND($C30&lt;&gt;"",$D30&lt;&gt;"")),"",VLOOKUP(B30,IF({1,0},INDIRECT("达修波得!$"&amp;$E$1&amp;"$2:$"&amp;$E$1&amp;"$8"),达修波得!$A$2:$A$8),2,FALSE))</f>
        <v>#N/A</v>
      </c>
      <c r="H30" s="35" t="e">
        <f t="shared" ca="1" si="0"/>
        <v>#N/A</v>
      </c>
    </row>
    <row r="31" spans="1:8">
      <c r="A31" s="4" t="s">
        <v>18</v>
      </c>
      <c r="F31" s="35" t="str">
        <f ca="1">IF(OR(OR($A31="",$B31=""),AND($C31&lt;&gt;"",$D31&lt;&gt;"")),"",VLOOKUP(A31,IF({1,0},INDIRECT("达修波得!$"&amp;$E$1&amp;"$2:$"&amp;$E$1&amp;"$8"),达修波得!$A$2:$A$8),2,FALSE))</f>
        <v/>
      </c>
      <c r="G31" s="35" t="str">
        <f ca="1">IF(OR(OR($A31="",$B31=""),AND($C31&lt;&gt;"",$D31&lt;&gt;"")),"",VLOOKUP(B31,IF({1,0},INDIRECT("达修波得!$"&amp;$E$1&amp;"$2:$"&amp;$E$1&amp;"$8"),达修波得!$A$2:$A$8),2,FALSE))</f>
        <v/>
      </c>
      <c r="H31" s="35" t="str">
        <f t="shared" ca="1" si="0"/>
        <v/>
      </c>
    </row>
    <row r="32" spans="1:8">
      <c r="A32" t="s">
        <v>72</v>
      </c>
      <c r="B32" t="s">
        <v>73</v>
      </c>
      <c r="F32" s="35" t="e">
        <f ca="1">IF(OR(OR($A32="",$B32=""),AND($C32&lt;&gt;"",$D32&lt;&gt;"")),"",VLOOKUP(A32,IF({1,0},INDIRECT("达修波得!$"&amp;$E$1&amp;"$2:$"&amp;$E$1&amp;"$8"),达修波得!$A$2:$A$8),2,FALSE))</f>
        <v>#N/A</v>
      </c>
      <c r="G32" s="35" t="e">
        <f ca="1">IF(OR(OR($A32="",$B32=""),AND($C32&lt;&gt;"",$D32&lt;&gt;"")),"",VLOOKUP(B32,IF({1,0},INDIRECT("达修波得!$"&amp;$E$1&amp;"$2:$"&amp;$E$1&amp;"$8"),达修波得!$A$2:$A$8),2,FALSE))</f>
        <v>#N/A</v>
      </c>
      <c r="H32" s="35" t="e">
        <f t="shared" ca="1" si="0"/>
        <v>#N/A</v>
      </c>
    </row>
    <row r="33" spans="1:8">
      <c r="B33" t="s">
        <v>63</v>
      </c>
      <c r="F33" s="35" t="str">
        <f ca="1">IF(OR(OR($A33="",$B33=""),AND($C33&lt;&gt;"",$D33&lt;&gt;"")),"",VLOOKUP(A33,IF({1,0},INDIRECT("达修波得!$"&amp;$E$1&amp;"$2:$"&amp;$E$1&amp;"$8"),达修波得!$A$2:$A$8),2,FALSE))</f>
        <v/>
      </c>
      <c r="G33" s="35" t="str">
        <f ca="1">IF(OR(OR($A33="",$B33=""),AND($C33&lt;&gt;"",$D33&lt;&gt;"")),"",VLOOKUP(B33,IF({1,0},INDIRECT("达修波得!$"&amp;$E$1&amp;"$2:$"&amp;$E$1&amp;"$8"),达修波得!$A$2:$A$8),2,FALSE))</f>
        <v/>
      </c>
      <c r="H33" s="35" t="str">
        <f t="shared" ca="1" si="0"/>
        <v/>
      </c>
    </row>
    <row r="34" spans="1:8">
      <c r="A34" t="s">
        <v>38</v>
      </c>
      <c r="B34" t="s">
        <v>62</v>
      </c>
      <c r="F34" s="35" t="e">
        <f ca="1">IF(OR(OR($A34="",$B34=""),AND($C34&lt;&gt;"",$D34&lt;&gt;"")),"",VLOOKUP(A34,IF({1,0},INDIRECT("达修波得!$"&amp;$E$1&amp;"$2:$"&amp;$E$1&amp;"$8"),达修波得!$A$2:$A$8),2,FALSE))</f>
        <v>#N/A</v>
      </c>
      <c r="G34" s="35" t="e">
        <f ca="1">IF(OR(OR($A34="",$B34=""),AND($C34&lt;&gt;"",$D34&lt;&gt;"")),"",VLOOKUP(B34,IF({1,0},INDIRECT("达修波得!$"&amp;$E$1&amp;"$2:$"&amp;$E$1&amp;"$8"),达修波得!$A$2:$A$8),2,FALSE))</f>
        <v>#N/A</v>
      </c>
      <c r="H34" s="35" t="e">
        <f t="shared" ca="1" si="0"/>
        <v>#N/A</v>
      </c>
    </row>
    <row r="35" spans="1:8">
      <c r="A35" t="s">
        <v>41</v>
      </c>
      <c r="B35" t="s">
        <v>13</v>
      </c>
      <c r="F35" s="35" t="e">
        <f ca="1">IF(OR(OR($A35="",$B35=""),AND($C35&lt;&gt;"",$D35&lt;&gt;"")),"",VLOOKUP(A35,IF({1,0},INDIRECT("达修波得!$"&amp;$E$1&amp;"$2:$"&amp;$E$1&amp;"$8"),达修波得!$A$2:$A$8),2,FALSE))</f>
        <v>#N/A</v>
      </c>
      <c r="G35" s="35" t="e">
        <f ca="1">IF(OR(OR($A35="",$B35=""),AND($C35&lt;&gt;"",$D35&lt;&gt;"")),"",VLOOKUP(B35,IF({1,0},INDIRECT("达修波得!$"&amp;$E$1&amp;"$2:$"&amp;$E$1&amp;"$8"),达修波得!$A$2:$A$8),2,FALSE))</f>
        <v>#N/A</v>
      </c>
      <c r="H35" s="35" t="e">
        <f t="shared" ca="1" si="0"/>
        <v>#N/A</v>
      </c>
    </row>
    <row r="36" spans="1:8">
      <c r="A36" s="4" t="s">
        <v>30</v>
      </c>
      <c r="F36" s="35" t="str">
        <f ca="1">IF(OR(OR($A36="",$B36=""),AND($C36&lt;&gt;"",$D36&lt;&gt;"")),"",VLOOKUP(A36,IF({1,0},INDIRECT("达修波得!$"&amp;$E$1&amp;"$2:$"&amp;$E$1&amp;"$8"),达修波得!$A$2:$A$8),2,FALSE))</f>
        <v/>
      </c>
      <c r="G36" s="35" t="str">
        <f ca="1">IF(OR(OR($A36="",$B36=""),AND($C36&lt;&gt;"",$D36&lt;&gt;"")),"",VLOOKUP(B36,IF({1,0},INDIRECT("达修波得!$"&amp;$E$1&amp;"$2:$"&amp;$E$1&amp;"$8"),达修波得!$A$2:$A$8),2,FALSE))</f>
        <v/>
      </c>
      <c r="H36" s="35" t="str">
        <f t="shared" ca="1" si="0"/>
        <v/>
      </c>
    </row>
    <row r="37" spans="1:8">
      <c r="A37" t="s">
        <v>63</v>
      </c>
      <c r="B37" t="s">
        <v>72</v>
      </c>
      <c r="F37" s="35" t="e">
        <f ca="1">IF(OR(OR($A37="",$B37=""),AND($C37&lt;&gt;"",$D37&lt;&gt;"")),"",VLOOKUP(A37,IF({1,0},INDIRECT("达修波得!$"&amp;$E$1&amp;"$2:$"&amp;$E$1&amp;"$8"),达修波得!$A$2:$A$8),2,FALSE))</f>
        <v>#N/A</v>
      </c>
      <c r="G37" s="35" t="e">
        <f ca="1">IF(OR(OR($A37="",$B37=""),AND($C37&lt;&gt;"",$D37&lt;&gt;"")),"",VLOOKUP(B37,IF({1,0},INDIRECT("达修波得!$"&amp;$E$1&amp;"$2:$"&amp;$E$1&amp;"$8"),达修波得!$A$2:$A$8),2,FALSE))</f>
        <v>#N/A</v>
      </c>
      <c r="H37" s="35" t="e">
        <f t="shared" ca="1" si="0"/>
        <v>#N/A</v>
      </c>
    </row>
    <row r="38" spans="1:8">
      <c r="A38" t="s">
        <v>62</v>
      </c>
      <c r="B38" t="s">
        <v>73</v>
      </c>
      <c r="F38" s="35" t="e">
        <f ca="1">IF(OR(OR($A38="",$B38=""),AND($C38&lt;&gt;"",$D38&lt;&gt;"")),"",VLOOKUP(A38,IF({1,0},INDIRECT("达修波得!$"&amp;$E$1&amp;"$2:$"&amp;$E$1&amp;"$8"),达修波得!$A$2:$A$8),2,FALSE))</f>
        <v>#N/A</v>
      </c>
      <c r="G38" s="35" t="e">
        <f ca="1">IF(OR(OR($A38="",$B38=""),AND($C38&lt;&gt;"",$D38&lt;&gt;"")),"",VLOOKUP(B38,IF({1,0},INDIRECT("达修波得!$"&amp;$E$1&amp;"$2:$"&amp;$E$1&amp;"$8"),达修波得!$A$2:$A$8),2,FALSE))</f>
        <v>#N/A</v>
      </c>
      <c r="H38" s="35" t="e">
        <f t="shared" ca="1" si="0"/>
        <v>#N/A</v>
      </c>
    </row>
    <row r="39" spans="1:8">
      <c r="A39" t="s">
        <v>13</v>
      </c>
      <c r="F39" s="35" t="str">
        <f ca="1">IF(OR(OR($A39="",$B39=""),AND($C39&lt;&gt;"",$D39&lt;&gt;"")),"",VLOOKUP(A39,IF({1,0},INDIRECT("达修波得!$"&amp;$E$1&amp;"$2:$"&amp;$E$1&amp;"$8"),达修波得!$A$2:$A$8),2,FALSE))</f>
        <v/>
      </c>
      <c r="G39" s="35" t="str">
        <f ca="1">IF(OR(OR($A39="",$B39=""),AND($C39&lt;&gt;"",$D39&lt;&gt;"")),"",VLOOKUP(B39,IF({1,0},INDIRECT("达修波得!$"&amp;$E$1&amp;"$2:$"&amp;$E$1&amp;"$8"),达修波得!$A$2:$A$8),2,FALSE))</f>
        <v/>
      </c>
      <c r="H39" s="35" t="str">
        <f t="shared" ca="1" si="0"/>
        <v/>
      </c>
    </row>
    <row r="40" spans="1:8">
      <c r="A40" t="s">
        <v>41</v>
      </c>
      <c r="B40" t="s">
        <v>38</v>
      </c>
      <c r="F40" s="35" t="e">
        <f ca="1">IF(OR(OR($A40="",$B40=""),AND($C40&lt;&gt;"",$D40&lt;&gt;"")),"",VLOOKUP(A40,IF({1,0},INDIRECT("达修波得!$"&amp;$E$1&amp;"$2:$"&amp;$E$1&amp;"$8"),达修波得!$A$2:$A$8),2,FALSE))</f>
        <v>#N/A</v>
      </c>
      <c r="G40" s="35" t="e">
        <f ca="1">IF(OR(OR($A40="",$B40=""),AND($C40&lt;&gt;"",$D40&lt;&gt;"")),"",VLOOKUP(B40,IF({1,0},INDIRECT("达修波得!$"&amp;$E$1&amp;"$2:$"&amp;$E$1&amp;"$8"),达修波得!$A$2:$A$8),2,FALSE))</f>
        <v>#N/A</v>
      </c>
      <c r="H40" s="35" t="e">
        <f t="shared" ca="1" si="0"/>
        <v>#N/A</v>
      </c>
    </row>
    <row r="41" spans="1:8">
      <c r="A41" s="4" t="s">
        <v>31</v>
      </c>
      <c r="F41" s="35" t="str">
        <f ca="1">IF(OR(OR($A41="",$B41=""),AND($C41&lt;&gt;"",$D41&lt;&gt;"")),"",VLOOKUP(A41,IF({1,0},INDIRECT("达修波得!$"&amp;$E$1&amp;"$2:$"&amp;$E$1&amp;"$8"),达修波得!$A$2:$A$8),2,FALSE))</f>
        <v/>
      </c>
      <c r="G41" s="35" t="str">
        <f ca="1">IF(OR(OR($A41="",$B41=""),AND($C41&lt;&gt;"",$D41&lt;&gt;"")),"",VLOOKUP(B41,IF({1,0},INDIRECT("达修波得!$"&amp;$E$1&amp;"$2:$"&amp;$E$1&amp;"$8"),达修波得!$A$2:$A$8),2,FALSE))</f>
        <v/>
      </c>
      <c r="H41" s="35" t="str">
        <f t="shared" ca="1" si="0"/>
        <v/>
      </c>
    </row>
    <row r="42" spans="1:8">
      <c r="A42" t="s">
        <v>62</v>
      </c>
      <c r="B42" t="s">
        <v>72</v>
      </c>
      <c r="F42" s="35" t="e">
        <f ca="1">IF(OR(OR($A42="",$B42=""),AND($C42&lt;&gt;"",$D42&lt;&gt;"")),"",VLOOKUP(A42,IF({1,0},INDIRECT("达修波得!$"&amp;$E$1&amp;"$2:$"&amp;$E$1&amp;"$8"),达修波得!$A$2:$A$8),2,FALSE))</f>
        <v>#N/A</v>
      </c>
      <c r="G42" s="35" t="e">
        <f ca="1">IF(OR(OR($A42="",$B42=""),AND($C42&lt;&gt;"",$D42&lt;&gt;"")),"",VLOOKUP(B42,IF({1,0},INDIRECT("达修波得!$"&amp;$E$1&amp;"$2:$"&amp;$E$1&amp;"$8"),达修波得!$A$2:$A$8),2,FALSE))</f>
        <v>#N/A</v>
      </c>
      <c r="H42" s="35" t="e">
        <f t="shared" ca="1" si="0"/>
        <v>#N/A</v>
      </c>
    </row>
    <row r="43" spans="1:8">
      <c r="A43" t="s">
        <v>13</v>
      </c>
      <c r="B43" t="s">
        <v>63</v>
      </c>
      <c r="F43" s="35" t="e">
        <f ca="1">IF(OR(OR($A43="",$B43=""),AND($C43&lt;&gt;"",$D43&lt;&gt;"")),"",VLOOKUP(A43,IF({1,0},INDIRECT("达修波得!$"&amp;$E$1&amp;"$2:$"&amp;$E$1&amp;"$8"),达修波得!$A$2:$A$8),2,FALSE))</f>
        <v>#N/A</v>
      </c>
      <c r="G43" s="35" t="e">
        <f ca="1">IF(OR(OR($A43="",$B43=""),AND($C43&lt;&gt;"",$D43&lt;&gt;"")),"",VLOOKUP(B43,IF({1,0},INDIRECT("达修波得!$"&amp;$E$1&amp;"$2:$"&amp;$E$1&amp;"$8"),达修波得!$A$2:$A$8),2,FALSE))</f>
        <v>#N/A</v>
      </c>
      <c r="H43" s="35" t="e">
        <f t="shared" ca="1" si="0"/>
        <v>#N/A</v>
      </c>
    </row>
    <row r="44" spans="1:8">
      <c r="A44" t="s">
        <v>41</v>
      </c>
      <c r="B44" t="s">
        <v>73</v>
      </c>
      <c r="F44" s="35" t="e">
        <f ca="1">IF(OR(OR($A44="",$B44=""),AND($C44&lt;&gt;"",$D44&lt;&gt;"")),"",VLOOKUP(A44,IF({1,0},INDIRECT("达修波得!$"&amp;$E$1&amp;"$2:$"&amp;$E$1&amp;"$8"),达修波得!$A$2:$A$8),2,FALSE))</f>
        <v>#N/A</v>
      </c>
      <c r="G44" s="35" t="e">
        <f ca="1">IF(OR(OR($A44="",$B44=""),AND($C44&lt;&gt;"",$D44&lt;&gt;"")),"",VLOOKUP(B44,IF({1,0},INDIRECT("达修波得!$"&amp;$E$1&amp;"$2:$"&amp;$E$1&amp;"$8"),达修波得!$A$2:$A$8),2,FALSE))</f>
        <v>#N/A</v>
      </c>
      <c r="H44" s="35" t="e">
        <f t="shared" ca="1" si="0"/>
        <v>#N/A</v>
      </c>
    </row>
    <row r="45" spans="1:8">
      <c r="A45" t="s">
        <v>38</v>
      </c>
      <c r="F45" s="35" t="str">
        <f ca="1">IF(OR(OR($A45="",$B45=""),AND($C45&lt;&gt;"",$D45&lt;&gt;"")),"",VLOOKUP(A45,IF({1,0},INDIRECT("达修波得!$"&amp;$E$1&amp;"$2:$"&amp;$E$1&amp;"$8"),达修波得!$A$2:$A$8),2,FALSE))</f>
        <v/>
      </c>
      <c r="G45" s="35" t="str">
        <f ca="1">IF(OR(OR($A45="",$B45=""),AND($C45&lt;&gt;"",$D45&lt;&gt;"")),"",VLOOKUP(B45,IF({1,0},INDIRECT("达修波得!$"&amp;$E$1&amp;"$2:$"&amp;$E$1&amp;"$8"),达修波得!$A$2:$A$8),2,FALSE))</f>
        <v/>
      </c>
      <c r="H45" s="35" t="str">
        <f t="shared" ca="1" si="0"/>
        <v/>
      </c>
    </row>
    <row r="46" spans="1:8">
      <c r="A46" s="4" t="s">
        <v>32</v>
      </c>
      <c r="F46" s="35" t="str">
        <f ca="1">IF(OR(OR($A46="",$B46=""),AND($C46&lt;&gt;"",$D46&lt;&gt;"")),"",VLOOKUP(A46,IF({1,0},INDIRECT("达修波得!$"&amp;$E$1&amp;"$2:$"&amp;$E$1&amp;"$8"),达修波得!$A$2:$A$8),2,FALSE))</f>
        <v/>
      </c>
      <c r="G46" s="35" t="str">
        <f ca="1">IF(OR(OR($A46="",$B46=""),AND($C46&lt;&gt;"",$D46&lt;&gt;"")),"",VLOOKUP(B46,IF({1,0},INDIRECT("达修波得!$"&amp;$E$1&amp;"$2:$"&amp;$E$1&amp;"$8"),达修波得!$A$2:$A$8),2,FALSE))</f>
        <v/>
      </c>
      <c r="H46" s="35" t="str">
        <f t="shared" ca="1" si="0"/>
        <v/>
      </c>
    </row>
    <row r="47" spans="1:8">
      <c r="A47" t="s">
        <v>13</v>
      </c>
      <c r="B47" t="s">
        <v>72</v>
      </c>
      <c r="F47" s="35" t="e">
        <f ca="1">IF(OR(OR($A47="",$B47=""),AND($C47&lt;&gt;"",$D47&lt;&gt;"")),"",VLOOKUP(A47,IF({1,0},INDIRECT("达修波得!$"&amp;$E$1&amp;"$2:$"&amp;$E$1&amp;"$8"),达修波得!$A$2:$A$8),2,FALSE))</f>
        <v>#N/A</v>
      </c>
      <c r="G47" s="35" t="e">
        <f ca="1">IF(OR(OR($A47="",$B47=""),AND($C47&lt;&gt;"",$D47&lt;&gt;"")),"",VLOOKUP(B47,IF({1,0},INDIRECT("达修波得!$"&amp;$E$1&amp;"$2:$"&amp;$E$1&amp;"$8"),达修波得!$A$2:$A$8),2,FALSE))</f>
        <v>#N/A</v>
      </c>
      <c r="H47" s="35" t="e">
        <f t="shared" ca="1" si="0"/>
        <v>#N/A</v>
      </c>
    </row>
    <row r="48" spans="1:8">
      <c r="A48" t="s">
        <v>41</v>
      </c>
      <c r="B48" t="s">
        <v>62</v>
      </c>
      <c r="F48" s="35" t="e">
        <f ca="1">IF(OR(OR($A48="",$B48=""),AND($C48&lt;&gt;"",$D48&lt;&gt;"")),"",VLOOKUP(A48,IF({1,0},INDIRECT("达修波得!$"&amp;$E$1&amp;"$2:$"&amp;$E$1&amp;"$8"),达修波得!$A$2:$A$8),2,FALSE))</f>
        <v>#N/A</v>
      </c>
      <c r="G48" s="35" t="e">
        <f ca="1">IF(OR(OR($A48="",$B48=""),AND($C48&lt;&gt;"",$D48&lt;&gt;"")),"",VLOOKUP(B48,IF({1,0},INDIRECT("达修波得!$"&amp;$E$1&amp;"$2:$"&amp;$E$1&amp;"$8"),达修波得!$A$2:$A$8),2,FALSE))</f>
        <v>#N/A</v>
      </c>
      <c r="H48" s="35" t="e">
        <f t="shared" ca="1" si="0"/>
        <v>#N/A</v>
      </c>
    </row>
    <row r="49" spans="1:8">
      <c r="A49" t="s">
        <v>38</v>
      </c>
      <c r="B49" t="s">
        <v>63</v>
      </c>
      <c r="F49" s="35" t="e">
        <f ca="1">IF(OR(OR($A49="",$B49=""),AND($C49&lt;&gt;"",$D49&lt;&gt;"")),"",VLOOKUP(A49,IF({1,0},INDIRECT("达修波得!$"&amp;$E$1&amp;"$2:$"&amp;$E$1&amp;"$8"),达修波得!$A$2:$A$8),2,FALSE))</f>
        <v>#N/A</v>
      </c>
      <c r="G49" s="35" t="e">
        <f ca="1">IF(OR(OR($A49="",$B49=""),AND($C49&lt;&gt;"",$D49&lt;&gt;"")),"",VLOOKUP(B49,IF({1,0},INDIRECT("达修波得!$"&amp;$E$1&amp;"$2:$"&amp;$E$1&amp;"$8"),达修波得!$A$2:$A$8),2,FALSE))</f>
        <v>#N/A</v>
      </c>
      <c r="H49" s="35" t="e">
        <f t="shared" ca="1" si="0"/>
        <v>#N/A</v>
      </c>
    </row>
    <row r="50" spans="1:8">
      <c r="B50" t="s">
        <v>73</v>
      </c>
      <c r="F50" s="35" t="str">
        <f ca="1">IF(OR(OR($A50="",$B50=""),AND($C50&lt;&gt;"",$D50&lt;&gt;"")),"",VLOOKUP(A50,IF({1,0},INDIRECT("达修波得!$"&amp;$E$1&amp;"$2:$"&amp;$E$1&amp;"$8"),达修波得!$A$2:$A$8),2,FALSE))</f>
        <v/>
      </c>
      <c r="G50" s="35" t="str">
        <f ca="1">IF(OR(OR($A50="",$B50=""),AND($C50&lt;&gt;"",$D50&lt;&gt;"")),"",VLOOKUP(B50,IF({1,0},INDIRECT("达修波得!$"&amp;$E$1&amp;"$2:$"&amp;$E$1&amp;"$8"),达修波得!$A$2:$A$8),2,FALSE))</f>
        <v/>
      </c>
      <c r="H50" s="35" t="str">
        <f t="shared" ca="1" si="0"/>
        <v/>
      </c>
    </row>
    <row r="51" spans="1:8">
      <c r="A51" s="4" t="s">
        <v>33</v>
      </c>
      <c r="F51" s="35" t="str">
        <f ca="1">IF(OR(OR($A51="",$B51=""),AND($C51&lt;&gt;"",$D51&lt;&gt;"")),"",VLOOKUP(A51,IF({1,0},INDIRECT("达修波得!$"&amp;$E$1&amp;"$2:$"&amp;$E$1&amp;"$8"),达修波得!$A$2:$A$8),2,FALSE))</f>
        <v/>
      </c>
      <c r="G51" s="35" t="str">
        <f ca="1">IF(OR(OR($A51="",$B51=""),AND($C51&lt;&gt;"",$D51&lt;&gt;"")),"",VLOOKUP(B51,IF({1,0},INDIRECT("达修波得!$"&amp;$E$1&amp;"$2:$"&amp;$E$1&amp;"$8"),达修波得!$A$2:$A$8),2,FALSE))</f>
        <v/>
      </c>
      <c r="H51" s="35" t="str">
        <f t="shared" ca="1" si="0"/>
        <v/>
      </c>
    </row>
    <row r="52" spans="1:8">
      <c r="A52" t="s">
        <v>41</v>
      </c>
      <c r="B52" t="s">
        <v>72</v>
      </c>
      <c r="F52" s="35" t="e">
        <f ca="1">IF(OR(OR($A52="",$B52=""),AND($C52&lt;&gt;"",$D52&lt;&gt;"")),"",VLOOKUP(A52,IF({1,0},INDIRECT("达修波得!$"&amp;$E$1&amp;"$2:$"&amp;$E$1&amp;"$8"),达修波得!$A$2:$A$8),2,FALSE))</f>
        <v>#N/A</v>
      </c>
      <c r="G52" s="35" t="e">
        <f ca="1">IF(OR(OR($A52="",$B52=""),AND($C52&lt;&gt;"",$D52&lt;&gt;"")),"",VLOOKUP(B52,IF({1,0},INDIRECT("达修波得!$"&amp;$E$1&amp;"$2:$"&amp;$E$1&amp;"$8"),达修波得!$A$2:$A$8),2,FALSE))</f>
        <v>#N/A</v>
      </c>
      <c r="H52" s="35" t="e">
        <f t="shared" ca="1" si="0"/>
        <v>#N/A</v>
      </c>
    </row>
    <row r="53" spans="1:8">
      <c r="A53" t="s">
        <v>38</v>
      </c>
      <c r="B53" t="s">
        <v>13</v>
      </c>
      <c r="F53" s="35" t="e">
        <f ca="1">IF(OR(OR($A53="",$B53=""),AND($C53&lt;&gt;"",$D53&lt;&gt;"")),"",VLOOKUP(A53,IF({1,0},INDIRECT("达修波得!$"&amp;$E$1&amp;"$2:$"&amp;$E$1&amp;"$8"),达修波得!$A$2:$A$8),2,FALSE))</f>
        <v>#N/A</v>
      </c>
      <c r="G53" s="35" t="e">
        <f ca="1">IF(OR(OR($A53="",$B53=""),AND($C53&lt;&gt;"",$D53&lt;&gt;"")),"",VLOOKUP(B53,IF({1,0},INDIRECT("达修波得!$"&amp;$E$1&amp;"$2:$"&amp;$E$1&amp;"$8"),达修波得!$A$2:$A$8),2,FALSE))</f>
        <v>#N/A</v>
      </c>
      <c r="H53" s="35" t="e">
        <f t="shared" ca="1" si="0"/>
        <v>#N/A</v>
      </c>
    </row>
    <row r="54" spans="1:8">
      <c r="B54" t="s">
        <v>62</v>
      </c>
      <c r="F54" s="35" t="str">
        <f ca="1">IF(OR(OR($A54="",$B54=""),AND($C54&lt;&gt;"",$D54&lt;&gt;"")),"",VLOOKUP(A54,IF({1,0},INDIRECT("达修波得!$"&amp;$E$1&amp;"$2:$"&amp;$E$1&amp;"$8"),达修波得!$A$2:$A$8),2,FALSE))</f>
        <v/>
      </c>
      <c r="G54" s="35" t="str">
        <f ca="1">IF(OR(OR($A54="",$B54=""),AND($C54&lt;&gt;"",$D54&lt;&gt;"")),"",VLOOKUP(B54,IF({1,0},INDIRECT("达修波得!$"&amp;$E$1&amp;"$2:$"&amp;$E$1&amp;"$8"),达修波得!$A$2:$A$8),2,FALSE))</f>
        <v/>
      </c>
      <c r="H54" s="35" t="str">
        <f t="shared" ca="1" si="0"/>
        <v/>
      </c>
    </row>
    <row r="55" spans="1:8">
      <c r="A55" t="s">
        <v>73</v>
      </c>
      <c r="B55" t="s">
        <v>63</v>
      </c>
      <c r="F55" s="35" t="e">
        <f ca="1">IF(OR(OR($A55="",$B55=""),AND($C55&lt;&gt;"",$D55&lt;&gt;"")),"",VLOOKUP(A55,IF({1,0},INDIRECT("达修波得!$"&amp;$E$1&amp;"$2:$"&amp;$E$1&amp;"$8"),达修波得!$A$2:$A$8),2,FALSE))</f>
        <v>#N/A</v>
      </c>
      <c r="G55" s="35" t="e">
        <f ca="1">IF(OR(OR($A55="",$B55=""),AND($C55&lt;&gt;"",$D55&lt;&gt;"")),"",VLOOKUP(B55,IF({1,0},INDIRECT("达修波得!$"&amp;$E$1&amp;"$2:$"&amp;$E$1&amp;"$8"),达修波得!$A$2:$A$8),2,FALSE))</f>
        <v>#N/A</v>
      </c>
      <c r="H55" s="35" t="e">
        <f t="shared" ca="1" si="0"/>
        <v>#N/A</v>
      </c>
    </row>
    <row r="56" spans="1:8">
      <c r="A56" s="4" t="s">
        <v>34</v>
      </c>
      <c r="F56" s="35" t="str">
        <f ca="1">IF(OR(OR($A56="",$B56=""),AND($C56&lt;&gt;"",$D56&lt;&gt;"")),"",VLOOKUP(A56,IF({1,0},INDIRECT("达修波得!$"&amp;$E$1&amp;"$2:$"&amp;$E$1&amp;"$8"),达修波得!$A$2:$A$8),2,FALSE))</f>
        <v/>
      </c>
      <c r="G56" s="35" t="str">
        <f ca="1">IF(OR(OR($A56="",$B56=""),AND($C56&lt;&gt;"",$D56&lt;&gt;"")),"",VLOOKUP(B56,IF({1,0},INDIRECT("达修波得!$"&amp;$E$1&amp;"$2:$"&amp;$E$1&amp;"$8"),达修波得!$A$2:$A$8),2,FALSE))</f>
        <v/>
      </c>
      <c r="H56" s="35" t="str">
        <f t="shared" ca="1" si="0"/>
        <v/>
      </c>
    </row>
    <row r="57" spans="1:8">
      <c r="A57" t="s">
        <v>38</v>
      </c>
      <c r="B57" t="s">
        <v>72</v>
      </c>
      <c r="F57" s="35" t="e">
        <f ca="1">IF(OR(OR($A57="",$B57=""),AND($C57&lt;&gt;"",$D57&lt;&gt;"")),"",VLOOKUP(A57,IF({1,0},INDIRECT("达修波得!$"&amp;$E$1&amp;"$2:$"&amp;$E$1&amp;"$8"),达修波得!$A$2:$A$8),2,FALSE))</f>
        <v>#N/A</v>
      </c>
      <c r="G57" s="35" t="e">
        <f ca="1">IF(OR(OR($A57="",$B57=""),AND($C57&lt;&gt;"",$D57&lt;&gt;"")),"",VLOOKUP(B57,IF({1,0},INDIRECT("达修波得!$"&amp;$E$1&amp;"$2:$"&amp;$E$1&amp;"$8"),达修波得!$A$2:$A$8),2,FALSE))</f>
        <v>#N/A</v>
      </c>
      <c r="H57" s="35" t="e">
        <f t="shared" ca="1" si="0"/>
        <v>#N/A</v>
      </c>
    </row>
    <row r="58" spans="1:8">
      <c r="B58" t="s">
        <v>41</v>
      </c>
      <c r="F58" s="35" t="str">
        <f ca="1">IF(OR(OR($A58="",$B58=""),AND($C58&lt;&gt;"",$D58&lt;&gt;"")),"",VLOOKUP(A58,IF({1,0},INDIRECT("达修波得!$"&amp;$E$1&amp;"$2:$"&amp;$E$1&amp;"$8"),达修波得!$A$2:$A$8),2,FALSE))</f>
        <v/>
      </c>
      <c r="G58" s="35" t="str">
        <f ca="1">IF(OR(OR($A58="",$B58=""),AND($C58&lt;&gt;"",$D58&lt;&gt;"")),"",VLOOKUP(B58,IF({1,0},INDIRECT("达修波得!$"&amp;$E$1&amp;"$2:$"&amp;$E$1&amp;"$8"),达修波得!$A$2:$A$8),2,FALSE))</f>
        <v/>
      </c>
      <c r="H58" s="35" t="str">
        <f t="shared" ca="1" si="0"/>
        <v/>
      </c>
    </row>
    <row r="59" spans="1:8">
      <c r="A59" t="s">
        <v>73</v>
      </c>
      <c r="B59" t="s">
        <v>13</v>
      </c>
      <c r="F59" s="35" t="e">
        <f ca="1">IF(OR(OR($A59="",$B59=""),AND($C59&lt;&gt;"",$D59&lt;&gt;"")),"",VLOOKUP(A59,IF({1,0},INDIRECT("达修波得!$"&amp;$E$1&amp;"$2:$"&amp;$E$1&amp;"$8"),达修波得!$A$2:$A$8),2,FALSE))</f>
        <v>#N/A</v>
      </c>
      <c r="G59" s="35" t="e">
        <f ca="1">IF(OR(OR($A59="",$B59=""),AND($C59&lt;&gt;"",$D59&lt;&gt;"")),"",VLOOKUP(B59,IF({1,0},INDIRECT("达修波得!$"&amp;$E$1&amp;"$2:$"&amp;$E$1&amp;"$8"),达修波得!$A$2:$A$8),2,FALSE))</f>
        <v>#N/A</v>
      </c>
      <c r="H59" s="35" t="e">
        <f t="shared" ca="1" si="0"/>
        <v>#N/A</v>
      </c>
    </row>
    <row r="60" spans="1:8">
      <c r="A60" t="s">
        <v>63</v>
      </c>
      <c r="B60" t="s">
        <v>62</v>
      </c>
      <c r="F60" s="35" t="e">
        <f ca="1">IF(OR(OR($A60="",$B60=""),AND($C60&lt;&gt;"",$D60&lt;&gt;"")),"",VLOOKUP(A60,IF({1,0},INDIRECT("达修波得!$"&amp;$E$1&amp;"$2:$"&amp;$E$1&amp;"$8"),达修波得!$A$2:$A$8),2,FALSE))</f>
        <v>#N/A</v>
      </c>
      <c r="G60" s="35" t="e">
        <f ca="1">IF(OR(OR($A60="",$B60=""),AND($C60&lt;&gt;"",$D60&lt;&gt;"")),"",VLOOKUP(B60,IF({1,0},INDIRECT("达修波得!$"&amp;$E$1&amp;"$2:$"&amp;$E$1&amp;"$8"),达修波得!$A$2:$A$8),2,FALSE))</f>
        <v>#N/A</v>
      </c>
      <c r="H60" s="35" t="e">
        <f t="shared" ca="1" si="0"/>
        <v>#N/A</v>
      </c>
    </row>
    <row r="61" spans="1:8">
      <c r="A61" s="4" t="s">
        <v>35</v>
      </c>
      <c r="F61" s="35" t="str">
        <f ca="1">IF(OR(OR($A61="",$B61=""),AND($C61&lt;&gt;"",$D61&lt;&gt;"")),"",VLOOKUP(A61,IF({1,0},INDIRECT("达修波得!$"&amp;$E$1&amp;"$2:$"&amp;$E$1&amp;"$8"),达修波得!$A$2:$A$8),2,FALSE))</f>
        <v/>
      </c>
      <c r="G61" s="35" t="str">
        <f ca="1">IF(OR(OR($A61="",$B61=""),AND($C61&lt;&gt;"",$D61&lt;&gt;"")),"",VLOOKUP(B61,IF({1,0},INDIRECT("达修波得!$"&amp;$E$1&amp;"$2:$"&amp;$E$1&amp;"$8"),达修波得!$A$2:$A$8),2,FALSE))</f>
        <v/>
      </c>
      <c r="H61" s="35" t="str">
        <f t="shared" ca="1" si="0"/>
        <v/>
      </c>
    </row>
    <row r="62" spans="1:8">
      <c r="B62" t="s">
        <v>72</v>
      </c>
      <c r="F62" s="35" t="str">
        <f ca="1">IF(OR(OR($A62="",$B62=""),AND($C62&lt;&gt;"",$D62&lt;&gt;"")),"",VLOOKUP(A62,IF({1,0},INDIRECT("达修波得!$"&amp;$E$1&amp;"$2:$"&amp;$E$1&amp;"$8"),达修波得!$A$2:$A$8),2,FALSE))</f>
        <v/>
      </c>
      <c r="G62" s="35" t="str">
        <f ca="1">IF(OR(OR($A62="",$B62=""),AND($C62&lt;&gt;"",$D62&lt;&gt;"")),"",VLOOKUP(B62,IF({1,0},INDIRECT("达修波得!$"&amp;$E$1&amp;"$2:$"&amp;$E$1&amp;"$8"),达修波得!$A$2:$A$8),2,FALSE))</f>
        <v/>
      </c>
      <c r="H62" s="35" t="str">
        <f t="shared" ca="1" si="0"/>
        <v/>
      </c>
    </row>
    <row r="63" spans="1:8">
      <c r="A63" t="s">
        <v>73</v>
      </c>
      <c r="B63" t="s">
        <v>38</v>
      </c>
      <c r="F63" s="35" t="e">
        <f ca="1">IF(OR(OR($A63="",$B63=""),AND($C63&lt;&gt;"",$D63&lt;&gt;"")),"",VLOOKUP(A63,IF({1,0},INDIRECT("达修波得!$"&amp;$E$1&amp;"$2:$"&amp;$E$1&amp;"$8"),达修波得!$A$2:$A$8),2,FALSE))</f>
        <v>#N/A</v>
      </c>
      <c r="G63" s="35" t="e">
        <f ca="1">IF(OR(OR($A63="",$B63=""),AND($C63&lt;&gt;"",$D63&lt;&gt;"")),"",VLOOKUP(B63,IF({1,0},INDIRECT("达修波得!$"&amp;$E$1&amp;"$2:$"&amp;$E$1&amp;"$8"),达修波得!$A$2:$A$8),2,FALSE))</f>
        <v>#N/A</v>
      </c>
      <c r="H63" s="35" t="e">
        <f t="shared" ca="1" si="0"/>
        <v>#N/A</v>
      </c>
    </row>
    <row r="64" spans="1:8">
      <c r="A64" t="s">
        <v>63</v>
      </c>
      <c r="B64" t="s">
        <v>41</v>
      </c>
      <c r="F64" s="35" t="e">
        <f ca="1">IF(OR(OR($A64="",$B64=""),AND($C64&lt;&gt;"",$D64&lt;&gt;"")),"",VLOOKUP(A64,IF({1,0},INDIRECT("达修波得!$"&amp;$E$1&amp;"$2:$"&amp;$E$1&amp;"$8"),达修波得!$A$2:$A$8),2,FALSE))</f>
        <v>#N/A</v>
      </c>
      <c r="G64" s="35" t="e">
        <f ca="1">IF(OR(OR($A64="",$B64=""),AND($C64&lt;&gt;"",$D64&lt;&gt;"")),"",VLOOKUP(B64,IF({1,0},INDIRECT("达修波得!$"&amp;$E$1&amp;"$2:$"&amp;$E$1&amp;"$8"),达修波得!$A$2:$A$8),2,FALSE))</f>
        <v>#N/A</v>
      </c>
      <c r="H64" s="35" t="e">
        <f t="shared" ca="1" si="0"/>
        <v>#N/A</v>
      </c>
    </row>
    <row r="65" spans="1:8">
      <c r="A65" t="s">
        <v>62</v>
      </c>
      <c r="B65" t="s">
        <v>13</v>
      </c>
      <c r="F65" s="35" t="e">
        <f ca="1">IF(OR(OR($A65="",$B65=""),AND($C65&lt;&gt;"",$D65&lt;&gt;"")),"",VLOOKUP(A65,IF({1,0},INDIRECT("达修波得!$"&amp;$E$1&amp;"$2:$"&amp;$E$1&amp;"$8"),达修波得!$A$2:$A$8),2,FALSE))</f>
        <v>#N/A</v>
      </c>
      <c r="G65" s="35" t="e">
        <f ca="1">IF(OR(OR($A65="",$B65=""),AND($C65&lt;&gt;"",$D65&lt;&gt;"")),"",VLOOKUP(B65,IF({1,0},INDIRECT("达修波得!$"&amp;$E$1&amp;"$2:$"&amp;$E$1&amp;"$8"),达修波得!$A$2:$A$8),2,FALSE))</f>
        <v>#N/A</v>
      </c>
      <c r="H65" s="35" t="e">
        <f t="shared" ca="1" si="0"/>
        <v>#N/A</v>
      </c>
    </row>
    <row r="66" spans="1:8">
      <c r="A66" s="4" t="s">
        <v>36</v>
      </c>
      <c r="F66" s="35" t="str">
        <f ca="1">IF(OR(OR($A66="",$B66=""),AND($C66&lt;&gt;"",$D66&lt;&gt;"")),"",VLOOKUP(A66,IF({1,0},INDIRECT("达修波得!$"&amp;$E$1&amp;"$2:$"&amp;$E$1&amp;"$8"),达修波得!$A$2:$A$8),2,FALSE))</f>
        <v/>
      </c>
      <c r="G66" s="35" t="str">
        <f ca="1">IF(OR(OR($A66="",$B66=""),AND($C66&lt;&gt;"",$D66&lt;&gt;"")),"",VLOOKUP(B66,IF({1,0},INDIRECT("达修波得!$"&amp;$E$1&amp;"$2:$"&amp;$E$1&amp;"$8"),达修波得!$A$2:$A$8),2,FALSE))</f>
        <v/>
      </c>
      <c r="H66" s="35" t="str">
        <f t="shared" ref="H66:H93" ca="1" si="1">F66&amp;G66</f>
        <v/>
      </c>
    </row>
    <row r="67" spans="1:8">
      <c r="A67" t="s">
        <v>73</v>
      </c>
      <c r="B67" t="s">
        <v>72</v>
      </c>
      <c r="F67" s="35" t="e">
        <f ca="1">IF(OR(OR($A67="",$B67=""),AND($C67&lt;&gt;"",$D67&lt;&gt;"")),"",VLOOKUP(A67,IF({1,0},INDIRECT("达修波得!$"&amp;$E$1&amp;"$2:$"&amp;$E$1&amp;"$8"),达修波得!$A$2:$A$8),2,FALSE))</f>
        <v>#N/A</v>
      </c>
      <c r="G67" s="35" t="e">
        <f ca="1">IF(OR(OR($A67="",$B67=""),AND($C67&lt;&gt;"",$D67&lt;&gt;"")),"",VLOOKUP(B67,IF({1,0},INDIRECT("达修波得!$"&amp;$E$1&amp;"$2:$"&amp;$E$1&amp;"$8"),达修波得!$A$2:$A$8),2,FALSE))</f>
        <v>#N/A</v>
      </c>
      <c r="H67" s="35" t="e">
        <f t="shared" ca="1" si="1"/>
        <v>#N/A</v>
      </c>
    </row>
    <row r="68" spans="1:8">
      <c r="A68" t="s">
        <v>63</v>
      </c>
      <c r="F68" s="35" t="str">
        <f ca="1">IF(OR(OR($A68="",$B68=""),AND($C68&lt;&gt;"",$D68&lt;&gt;"")),"",VLOOKUP(A68,IF({1,0},INDIRECT("达修波得!$"&amp;$E$1&amp;"$2:$"&amp;$E$1&amp;"$8"),达修波得!$A$2:$A$8),2,FALSE))</f>
        <v/>
      </c>
      <c r="G68" s="35" t="str">
        <f ca="1">IF(OR(OR($A68="",$B68=""),AND($C68&lt;&gt;"",$D68&lt;&gt;"")),"",VLOOKUP(B68,IF({1,0},INDIRECT("达修波得!$"&amp;$E$1&amp;"$2:$"&amp;$E$1&amp;"$8"),达修波得!$A$2:$A$8),2,FALSE))</f>
        <v/>
      </c>
      <c r="H68" s="35" t="str">
        <f t="shared" ca="1" si="1"/>
        <v/>
      </c>
    </row>
    <row r="69" spans="1:8">
      <c r="A69" t="s">
        <v>62</v>
      </c>
      <c r="B69" t="s">
        <v>38</v>
      </c>
      <c r="F69" s="35" t="e">
        <f ca="1">IF(OR(OR($A69="",$B69=""),AND($C69&lt;&gt;"",$D69&lt;&gt;"")),"",VLOOKUP(A69,IF({1,0},INDIRECT("达修波得!$"&amp;$E$1&amp;"$2:$"&amp;$E$1&amp;"$8"),达修波得!$A$2:$A$8),2,FALSE))</f>
        <v>#N/A</v>
      </c>
      <c r="G69" s="35" t="e">
        <f ca="1">IF(OR(OR($A69="",$B69=""),AND($C69&lt;&gt;"",$D69&lt;&gt;"")),"",VLOOKUP(B69,IF({1,0},INDIRECT("达修波得!$"&amp;$E$1&amp;"$2:$"&amp;$E$1&amp;"$8"),达修波得!$A$2:$A$8),2,FALSE))</f>
        <v>#N/A</v>
      </c>
      <c r="H69" s="35" t="e">
        <f t="shared" ca="1" si="1"/>
        <v>#N/A</v>
      </c>
    </row>
    <row r="70" spans="1:8">
      <c r="A70" t="s">
        <v>13</v>
      </c>
      <c r="B70" t="s">
        <v>41</v>
      </c>
      <c r="F70" s="35" t="e">
        <f ca="1">IF(OR(OR($A70="",$B70=""),AND($C70&lt;&gt;"",$D70&lt;&gt;"")),"",VLOOKUP(A70,IF({1,0},INDIRECT("达修波得!$"&amp;$E$1&amp;"$2:$"&amp;$E$1&amp;"$8"),达修波得!$A$2:$A$8),2,FALSE))</f>
        <v>#N/A</v>
      </c>
      <c r="G70" s="35" t="e">
        <f ca="1">IF(OR(OR($A70="",$B70=""),AND($C70&lt;&gt;"",$D70&lt;&gt;"")),"",VLOOKUP(B70,IF({1,0},INDIRECT("达修波得!$"&amp;$E$1&amp;"$2:$"&amp;$E$1&amp;"$8"),达修波得!$A$2:$A$8),2,FALSE))</f>
        <v>#N/A</v>
      </c>
      <c r="H70" s="35" t="e">
        <f t="shared" ca="1" si="1"/>
        <v>#N/A</v>
      </c>
    </row>
    <row r="71" spans="1:8">
      <c r="F71" s="35" t="str">
        <f ca="1">IF(OR(OR($A71="",$B71=""),AND($C71&lt;&gt;"",$D71&lt;&gt;"")),"",VLOOKUP(A71,IF({1,0},INDIRECT("达修波得!$"&amp;$E$1&amp;"$2:$"&amp;$E$1&amp;"$8"),达修波得!$A$2:$A$8),2,FALSE))</f>
        <v/>
      </c>
      <c r="G71" s="35" t="str">
        <f ca="1">IF(OR(OR($A71="",$B71=""),AND($C71&lt;&gt;"",$D71&lt;&gt;"")),"",VLOOKUP(B71,IF({1,0},INDIRECT("达修波得!$"&amp;$E$1&amp;"$2:$"&amp;$E$1&amp;"$8"),达修波得!$A$2:$A$8),2,FALSE))</f>
        <v/>
      </c>
      <c r="H71" s="35" t="str">
        <f t="shared" ca="1" si="1"/>
        <v/>
      </c>
    </row>
    <row r="72" spans="1:8">
      <c r="F72" s="35" t="str">
        <f ca="1">IF(OR(OR($A72="",$B72=""),AND($C72&lt;&gt;"",$D72&lt;&gt;"")),"",VLOOKUP(A72,IF({1,0},INDIRECT("达修波得!$"&amp;$E$1&amp;"$2:$"&amp;$E$1&amp;"$8"),达修波得!$A$2:$A$8),2,FALSE))</f>
        <v/>
      </c>
      <c r="G72" s="35" t="str">
        <f ca="1">IF(OR(OR($A72="",$B72=""),AND($C72&lt;&gt;"",$D72&lt;&gt;"")),"",VLOOKUP(B72,IF({1,0},INDIRECT("达修波得!$"&amp;$E$1&amp;"$2:$"&amp;$E$1&amp;"$8"),达修波得!$A$2:$A$8),2,FALSE))</f>
        <v/>
      </c>
      <c r="H72" s="35" t="str">
        <f t="shared" ca="1" si="1"/>
        <v/>
      </c>
    </row>
    <row r="73" spans="1:8">
      <c r="H73" s="35" t="str">
        <f t="shared" si="1"/>
        <v/>
      </c>
    </row>
    <row r="74" spans="1:8">
      <c r="H74" s="35" t="str">
        <f t="shared" si="1"/>
        <v/>
      </c>
    </row>
    <row r="75" spans="1:8">
      <c r="H75" s="35" t="str">
        <f t="shared" si="1"/>
        <v/>
      </c>
    </row>
    <row r="76" spans="1:8">
      <c r="H76" s="35" t="str">
        <f t="shared" si="1"/>
        <v/>
      </c>
    </row>
    <row r="77" spans="1:8">
      <c r="H77" s="35" t="str">
        <f t="shared" si="1"/>
        <v/>
      </c>
    </row>
    <row r="78" spans="1:8">
      <c r="H78" s="35" t="str">
        <f t="shared" si="1"/>
        <v/>
      </c>
    </row>
    <row r="79" spans="1:8">
      <c r="H79" s="35" t="str">
        <f t="shared" si="1"/>
        <v/>
      </c>
    </row>
    <row r="80" spans="1:8">
      <c r="H80" s="35" t="str">
        <f t="shared" si="1"/>
        <v/>
      </c>
    </row>
    <row r="81" spans="8:8">
      <c r="H81" s="35" t="str">
        <f t="shared" si="1"/>
        <v/>
      </c>
    </row>
    <row r="82" spans="8:8">
      <c r="H82" s="35" t="str">
        <f t="shared" si="1"/>
        <v/>
      </c>
    </row>
    <row r="83" spans="8:8">
      <c r="H83" s="35" t="str">
        <f t="shared" si="1"/>
        <v/>
      </c>
    </row>
    <row r="84" spans="8:8">
      <c r="H84" s="35" t="str">
        <f t="shared" si="1"/>
        <v/>
      </c>
    </row>
    <row r="85" spans="8:8">
      <c r="H85" s="35" t="str">
        <f t="shared" si="1"/>
        <v/>
      </c>
    </row>
    <row r="86" spans="8:8">
      <c r="H86" s="35" t="str">
        <f t="shared" si="1"/>
        <v/>
      </c>
    </row>
    <row r="87" spans="8:8">
      <c r="H87" s="35" t="str">
        <f t="shared" si="1"/>
        <v/>
      </c>
    </row>
    <row r="88" spans="8:8">
      <c r="H88" s="35" t="str">
        <f t="shared" si="1"/>
        <v/>
      </c>
    </row>
    <row r="89" spans="8:8">
      <c r="H89" s="35" t="str">
        <f t="shared" si="1"/>
        <v/>
      </c>
    </row>
    <row r="90" spans="8:8">
      <c r="H90" s="35" t="str">
        <f t="shared" si="1"/>
        <v/>
      </c>
    </row>
    <row r="91" spans="8:8">
      <c r="H91" s="35" t="str">
        <f t="shared" si="1"/>
        <v/>
      </c>
    </row>
    <row r="92" spans="8:8">
      <c r="H92" s="35" t="str">
        <f t="shared" si="1"/>
        <v/>
      </c>
    </row>
    <row r="93" spans="8:8">
      <c r="H93" s="35" t="str">
        <f t="shared" si="1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达修波得</vt:lpstr>
      <vt:lpstr>西甲積分榜</vt:lpstr>
      <vt:lpstr>欧联積分榜</vt:lpstr>
      <vt:lpstr>意甲積分榜</vt:lpstr>
      <vt:lpstr>欧冠積分榜</vt:lpstr>
      <vt:lpstr>西甲</vt:lpstr>
      <vt:lpstr>欧联</vt:lpstr>
      <vt:lpstr>意甲</vt:lpstr>
      <vt:lpstr>欧冠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ZL</dc:creator>
  <cp:lastModifiedBy>mail_box</cp:lastModifiedBy>
  <dcterms:created xsi:type="dcterms:W3CDTF">2016-12-27T02:33:39Z</dcterms:created>
  <dcterms:modified xsi:type="dcterms:W3CDTF">2018-06-22T09:31:19Z</dcterms:modified>
</cp:coreProperties>
</file>