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functionGroups/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oncurrentCalc="0"/>
</workbook>
</file>

<file path=xl/calcChain.xml><?xml version="1.0" encoding="utf-8"?>
<calcChain xmlns="http://schemas.openxmlformats.org/spreadsheetml/2006/main">
  <c r="L3" i="9"/>
  <c r="L4"/>
  <c r="L5"/>
  <c r="L6"/>
  <c r="L7"/>
  <c r="L8"/>
  <c r="L9"/>
  <c r="L10"/>
  <c r="L11"/>
  <c r="L12"/>
  <c r="L13"/>
  <c r="L2"/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H36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H46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H56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H66" i="7"/>
  <c r="F1" i="8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F73"/>
  <c r="G73"/>
  <c r="H73"/>
  <c r="F74"/>
  <c r="G74"/>
  <c r="H74"/>
  <c r="F75"/>
  <c r="G75"/>
  <c r="H75"/>
  <c r="F76"/>
  <c r="G76"/>
  <c r="H76"/>
  <c r="F77"/>
  <c r="G77"/>
  <c r="H77"/>
  <c r="F78"/>
  <c r="G78"/>
  <c r="H78"/>
  <c r="F79"/>
  <c r="G79"/>
  <c r="H79"/>
  <c r="F80"/>
  <c r="G80"/>
  <c r="H80"/>
  <c r="F81"/>
  <c r="G81"/>
  <c r="H81"/>
  <c r="F82"/>
  <c r="G82"/>
  <c r="H82"/>
  <c r="F83"/>
  <c r="G83"/>
  <c r="H83"/>
  <c r="F84"/>
  <c r="G84"/>
  <c r="H84"/>
  <c r="F85"/>
  <c r="G85"/>
  <c r="H85"/>
  <c r="F86"/>
  <c r="G86"/>
  <c r="H86"/>
  <c r="F87"/>
  <c r="G87"/>
  <c r="H87"/>
  <c r="F88"/>
  <c r="G88"/>
  <c r="H88"/>
  <c r="F89"/>
  <c r="G89"/>
  <c r="H89"/>
  <c r="F90"/>
  <c r="G90"/>
  <c r="H90"/>
  <c r="F91"/>
  <c r="G91"/>
  <c r="H91"/>
  <c r="F92"/>
  <c r="G92"/>
  <c r="H92"/>
  <c r="F93"/>
  <c r="G93"/>
  <c r="H93"/>
  <c r="F94"/>
  <c r="G94"/>
  <c r="H94"/>
  <c r="F95"/>
  <c r="G95"/>
  <c r="H95"/>
  <c r="F96"/>
  <c r="G96"/>
  <c r="H96"/>
  <c r="F97"/>
  <c r="G97"/>
  <c r="H97"/>
  <c r="F98"/>
  <c r="G98"/>
  <c r="H98"/>
  <c r="F99"/>
  <c r="G99"/>
  <c r="H99"/>
  <c r="F100"/>
  <c r="G100"/>
  <c r="H100"/>
  <c r="F101"/>
  <c r="G101"/>
  <c r="H101"/>
  <c r="F102"/>
  <c r="G102"/>
  <c r="H102"/>
  <c r="F103"/>
  <c r="G103"/>
  <c r="H103"/>
  <c r="F104"/>
  <c r="G104"/>
  <c r="H104"/>
  <c r="F105"/>
  <c r="G105"/>
  <c r="H105"/>
  <c r="F106"/>
  <c r="G106"/>
  <c r="H106"/>
  <c r="F107"/>
  <c r="G107"/>
  <c r="H107"/>
  <c r="F108"/>
  <c r="G108"/>
  <c r="H108"/>
  <c r="F109"/>
  <c r="G109"/>
  <c r="H109"/>
  <c r="F110"/>
  <c r="G110"/>
  <c r="H110"/>
  <c r="F111"/>
  <c r="G111"/>
  <c r="H111"/>
  <c r="F112"/>
  <c r="G112"/>
  <c r="H112"/>
  <c r="F113"/>
  <c r="G113"/>
  <c r="H113"/>
  <c r="F114"/>
  <c r="G114"/>
  <c r="H114"/>
  <c r="F115"/>
  <c r="G115"/>
  <c r="H115"/>
  <c r="F116"/>
  <c r="G116"/>
  <c r="H116"/>
  <c r="F117"/>
  <c r="G117"/>
  <c r="H117"/>
  <c r="F118"/>
  <c r="G118"/>
  <c r="H118"/>
  <c r="F119"/>
  <c r="G119"/>
  <c r="H119"/>
  <c r="F120"/>
  <c r="G120"/>
  <c r="H120"/>
  <c r="F121"/>
  <c r="G121"/>
  <c r="H121"/>
  <c r="F122"/>
  <c r="G122"/>
  <c r="H122"/>
  <c r="F123"/>
  <c r="G123"/>
  <c r="H123"/>
  <c r="F124"/>
  <c r="G124"/>
  <c r="H124"/>
  <c r="F125"/>
  <c r="G125"/>
  <c r="H125"/>
  <c r="F126"/>
  <c r="G126"/>
  <c r="H126"/>
  <c r="F127"/>
  <c r="G127"/>
  <c r="H127"/>
  <c r="F128"/>
  <c r="G128"/>
  <c r="H128"/>
  <c r="F129"/>
  <c r="G129"/>
  <c r="H129"/>
  <c r="F130"/>
  <c r="G130"/>
  <c r="H130"/>
  <c r="F131"/>
  <c r="G131"/>
  <c r="H131"/>
  <c r="F132"/>
  <c r="G132"/>
  <c r="H132"/>
  <c r="F133"/>
  <c r="G133"/>
  <c r="H133"/>
  <c r="F134"/>
  <c r="G134"/>
  <c r="H134"/>
  <c r="F135"/>
  <c r="G135"/>
  <c r="H135"/>
  <c r="F136"/>
  <c r="G136"/>
  <c r="H136"/>
  <c r="F137"/>
  <c r="G137"/>
  <c r="H137"/>
  <c r="F138"/>
  <c r="G138"/>
  <c r="H138"/>
  <c r="F139"/>
  <c r="G139"/>
  <c r="H139"/>
  <c r="F140"/>
  <c r="G140"/>
  <c r="H140"/>
  <c r="F141"/>
  <c r="G141"/>
  <c r="H141"/>
  <c r="F142"/>
  <c r="G142"/>
  <c r="H142"/>
  <c r="F143"/>
  <c r="G143"/>
  <c r="H143"/>
  <c r="F144"/>
  <c r="G144"/>
  <c r="H144"/>
  <c r="F145"/>
  <c r="G145"/>
  <c r="H145"/>
  <c r="F146"/>
  <c r="G146"/>
  <c r="H146"/>
  <c r="F147"/>
  <c r="G147"/>
  <c r="H147"/>
  <c r="F148"/>
  <c r="G148"/>
  <c r="H148"/>
  <c r="F149"/>
  <c r="G149"/>
  <c r="H149"/>
  <c r="F150"/>
  <c r="G150"/>
  <c r="H150"/>
  <c r="F151"/>
  <c r="G151"/>
  <c r="H151"/>
  <c r="F152"/>
  <c r="G152"/>
  <c r="H152"/>
  <c r="F153"/>
  <c r="G153"/>
  <c r="H153"/>
  <c r="F154"/>
  <c r="G154"/>
  <c r="H154"/>
  <c r="H75" i="7"/>
  <c r="H26"/>
  <c r="H35"/>
  <c r="H45"/>
  <c r="H55"/>
  <c r="H65"/>
  <c r="H74"/>
  <c r="H25"/>
  <c r="H34"/>
  <c r="H44"/>
  <c r="H54"/>
  <c r="H64"/>
  <c r="H73"/>
  <c r="H24"/>
  <c r="H33"/>
  <c r="H43"/>
  <c r="H53"/>
  <c r="H63"/>
  <c r="H72"/>
  <c r="H23"/>
  <c r="H32"/>
  <c r="H42"/>
  <c r="H52"/>
  <c r="H62"/>
  <c r="H71"/>
  <c r="H22"/>
  <c r="H31"/>
  <c r="H41"/>
  <c r="H51"/>
  <c r="H61"/>
  <c r="H70"/>
  <c r="H21"/>
  <c r="G37"/>
  <c r="G47"/>
  <c r="G57"/>
  <c r="G67"/>
  <c r="G76"/>
  <c r="G27"/>
  <c r="G35"/>
  <c r="G45"/>
  <c r="G55"/>
  <c r="G65"/>
  <c r="G74"/>
  <c r="G25"/>
  <c r="G34"/>
  <c r="G44"/>
  <c r="G54"/>
  <c r="G64"/>
  <c r="G73"/>
  <c r="G24"/>
  <c r="G33"/>
  <c r="G43"/>
  <c r="G53"/>
  <c r="G63"/>
  <c r="G72"/>
  <c r="G23"/>
  <c r="G32"/>
  <c r="G42"/>
  <c r="G52"/>
  <c r="G62"/>
  <c r="G71"/>
  <c r="G22"/>
  <c r="G31"/>
  <c r="G41"/>
  <c r="G51"/>
  <c r="G61"/>
  <c r="G70"/>
  <c r="G21"/>
  <c r="F37"/>
  <c r="F47"/>
  <c r="F57"/>
  <c r="F67"/>
  <c r="F76"/>
  <c r="F27"/>
  <c r="F36"/>
  <c r="F46"/>
  <c r="F56"/>
  <c r="F66"/>
  <c r="F75"/>
  <c r="F26"/>
  <c r="F34"/>
  <c r="F44"/>
  <c r="F54"/>
  <c r="F64"/>
  <c r="F73"/>
  <c r="F24"/>
  <c r="F33"/>
  <c r="F43"/>
  <c r="F53"/>
  <c r="F63"/>
  <c r="F72"/>
  <c r="F23"/>
  <c r="F32"/>
  <c r="F42"/>
  <c r="F52"/>
  <c r="F62"/>
  <c r="F71"/>
  <c r="F22"/>
  <c r="F31"/>
  <c r="F41"/>
  <c r="F51"/>
  <c r="F61"/>
  <c r="F70"/>
  <c r="F21"/>
  <c r="E37"/>
  <c r="E47"/>
  <c r="E57"/>
  <c r="E67"/>
  <c r="E76"/>
  <c r="E27"/>
  <c r="E36"/>
  <c r="E46"/>
  <c r="E56"/>
  <c r="E66"/>
  <c r="E75"/>
  <c r="E26"/>
  <c r="E35"/>
  <c r="E45"/>
  <c r="E55"/>
  <c r="E65"/>
  <c r="E74"/>
  <c r="E25"/>
  <c r="E33"/>
  <c r="E43"/>
  <c r="E53"/>
  <c r="E63"/>
  <c r="E72"/>
  <c r="E23"/>
  <c r="E32"/>
  <c r="E42"/>
  <c r="E52"/>
  <c r="E62"/>
  <c r="E71"/>
  <c r="E22"/>
  <c r="E31"/>
  <c r="E41"/>
  <c r="E51"/>
  <c r="E61"/>
  <c r="E70"/>
  <c r="E21"/>
  <c r="D32"/>
  <c r="D42"/>
  <c r="D52"/>
  <c r="D62"/>
  <c r="D71"/>
  <c r="D22"/>
  <c r="D31"/>
  <c r="D41"/>
  <c r="D51"/>
  <c r="D61"/>
  <c r="D70"/>
  <c r="D21"/>
  <c r="D37"/>
  <c r="D47"/>
  <c r="D57"/>
  <c r="D67"/>
  <c r="D76"/>
  <c r="D27"/>
  <c r="D36"/>
  <c r="D46"/>
  <c r="D56"/>
  <c r="D66"/>
  <c r="D75"/>
  <c r="D26"/>
  <c r="D35"/>
  <c r="D45"/>
  <c r="D55"/>
  <c r="D65"/>
  <c r="D74"/>
  <c r="D25"/>
  <c r="D34"/>
  <c r="D44"/>
  <c r="D54"/>
  <c r="D64"/>
  <c r="D73"/>
  <c r="D24"/>
  <c r="C37"/>
  <c r="C47"/>
  <c r="C57"/>
  <c r="C67"/>
  <c r="C76"/>
  <c r="C27"/>
  <c r="C36"/>
  <c r="C46"/>
  <c r="C56"/>
  <c r="C66"/>
  <c r="C75"/>
  <c r="C26"/>
  <c r="C35"/>
  <c r="C45"/>
  <c r="C55"/>
  <c r="C65"/>
  <c r="C74"/>
  <c r="C25"/>
  <c r="C34"/>
  <c r="C44"/>
  <c r="C54"/>
  <c r="C64"/>
  <c r="C73"/>
  <c r="C24"/>
  <c r="C33"/>
  <c r="C43"/>
  <c r="C53"/>
  <c r="C63"/>
  <c r="C72"/>
  <c r="C23"/>
  <c r="C31"/>
  <c r="C41"/>
  <c r="C51"/>
  <c r="C61"/>
  <c r="C70"/>
  <c r="C21"/>
  <c r="B33"/>
  <c r="B43"/>
  <c r="B53"/>
  <c r="B63"/>
  <c r="B72"/>
  <c r="B23"/>
  <c r="B34"/>
  <c r="B44"/>
  <c r="B54"/>
  <c r="B64"/>
  <c r="B73"/>
  <c r="B24"/>
  <c r="B35"/>
  <c r="B45"/>
  <c r="B55"/>
  <c r="B65"/>
  <c r="B74"/>
  <c r="B25"/>
  <c r="B36"/>
  <c r="B46"/>
  <c r="B56"/>
  <c r="B66"/>
  <c r="B75"/>
  <c r="B26"/>
  <c r="B37"/>
  <c r="B47"/>
  <c r="B57"/>
  <c r="B67"/>
  <c r="B76"/>
  <c r="B27"/>
  <c r="B32"/>
  <c r="B42"/>
  <c r="B52"/>
  <c r="B62"/>
  <c r="B71"/>
  <c r="B22"/>
  <c r="E73"/>
  <c r="L2" i="5"/>
  <c r="L3"/>
  <c r="L4"/>
  <c r="L5"/>
  <c r="L6"/>
  <c r="L7"/>
  <c r="L8"/>
  <c r="K7"/>
  <c r="K3"/>
  <c r="K4"/>
  <c r="K5"/>
  <c r="K6"/>
  <c r="K8"/>
  <c r="H93" i="11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K2" l="1"/>
  <c r="K7"/>
  <c r="K6"/>
  <c r="K5"/>
  <c r="K4"/>
  <c r="K8"/>
  <c r="K3"/>
  <c r="K7" i="9"/>
  <c r="K8"/>
  <c r="K2"/>
  <c r="K4"/>
  <c r="K6"/>
  <c r="K3"/>
  <c r="K5"/>
  <c r="L2" i="6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K3" i="6" l="1"/>
  <c r="K8"/>
  <c r="K2"/>
  <c r="K5"/>
  <c r="K7"/>
  <c r="K6"/>
  <c r="K4"/>
  <c r="K2" i="1"/>
  <c r="K3"/>
  <c r="K5"/>
  <c r="K7"/>
  <c r="K6"/>
  <c r="K8"/>
  <c r="K4"/>
  <c r="K2" i="5"/>
  <c r="B19" i="7" l="1"/>
  <c r="C19"/>
  <c r="A20"/>
  <c r="G19"/>
  <c r="H19"/>
  <c r="E19"/>
  <c r="D19"/>
  <c r="F19"/>
</calcChain>
</file>

<file path=xl/sharedStrings.xml><?xml version="1.0" encoding="utf-8"?>
<sst xmlns="http://schemas.openxmlformats.org/spreadsheetml/2006/main" count="1018" uniqueCount="170">
  <si>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</si>
  <si>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</si>
  <si>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</si>
  <si>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</si>
  <si>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</si>
  <si>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</si>
  <si>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</si>
  <si>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</si>
  <si>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</si>
  <si>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</si>
  <si>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</si>
  <si>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</si>
  <si>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</si>
  <si>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</si>
  <si>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</si>
  <si>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</si>
  <si>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</si>
  <si>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</si>
  <si>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</si>
  <si>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</si>
  <si>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</si>
  <si>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</si>
  <si>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</si>
  <si>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</si>
  <si>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</si>
  <si>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</si>
  <si>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</si>
  <si>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</si>
  <si>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</si>
  <si>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</si>
  <si>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</si>
  <si>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</si>
  <si>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</si>
  <si>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</si>
  <si>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</si>
  <si>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</si>
  <si>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</si>
  <si>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</si>
  <si>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</si>
  <si>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</si>
  <si>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</si>
  <si>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</si>
  <si>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</si>
  <si>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</si>
  <si>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</si>
  <si>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</si>
  <si>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</si>
  <si>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</si>
  <si>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</si>
  <si>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</si>
  <si>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</si>
  <si>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</si>
  <si>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</si>
  <si>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</si>
  <si>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</si>
  <si>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</si>
  <si>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</si>
  <si>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</si>
  <si>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</si>
  <si>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</si>
  <si>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</si>
  <si>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</si>
  <si>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</si>
  <si>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</si>
  <si>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</si>
  <si>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</si>
  <si>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</si>
  <si>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</si>
  <si>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</si>
  <si>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</si>
  <si>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</si>
  <si>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</si>
  <si>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</si>
  <si>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</si>
  <si>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</si>
  <si>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</si>
  <si>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</si>
  <si>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</si>
  <si>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</si>
  <si>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</si>
  <si>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</si>
  <si>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</si>
  <si>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</si>
  <si>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</si>
  <si>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</si>
  <si>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</si>
  <si>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</si>
  <si>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</si>
  <si>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</si>
  <si>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</si>
  <si>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</si>
  <si>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</si>
  <si>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</si>
  <si>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</si>
  <si>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</si>
  <si>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</si>
  <si>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</si>
  <si>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</si>
  <si>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</si>
  <si>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</si>
  <si>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</si>
  <si>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本菲卡</t>
    <phoneticPr fontId="1"/>
  </si>
  <si>
    <t>巴黎圣日耳曼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</si>
  <si>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</si>
  <si>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</si>
  <si>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</si>
  <si>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</si>
  <si>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</si>
  <si>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</si>
  <si>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</si>
  <si>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</si>
  <si>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</si>
  <si>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</si>
  <si>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</si>
  <si>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</si>
  <si>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</si>
  <si>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</si>
  <si>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</si>
  <si>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</si>
  <si>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</si>
  <si>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霍芬海姆</t>
  </si>
  <si>
    <r>
      <t>莫斯科中央</t>
    </r>
    <r>
      <rPr>
        <sz val="11"/>
        <color theme="1"/>
        <rFont val="ＭＳ Ｐゴシック"/>
        <family val="3"/>
        <charset val="134"/>
        <scheme val="minor"/>
      </rPr>
      <t>陆军</t>
    </r>
    <phoneticPr fontId="1"/>
  </si>
  <si>
    <t>欧冠</t>
    <phoneticPr fontId="1"/>
  </si>
  <si>
    <t>莱加内斯</t>
    <phoneticPr fontId="1"/>
  </si>
  <si>
    <t>瓦伦西亚</t>
    <phoneticPr fontId="1"/>
  </si>
  <si>
    <t>塞维利亚</t>
    <phoneticPr fontId="1"/>
  </si>
  <si>
    <t>毕尔巴鄂竞技</t>
    <phoneticPr fontId="1"/>
  </si>
  <si>
    <t>皇家马德里</t>
    <phoneticPr fontId="1"/>
  </si>
  <si>
    <t>赫塔菲</t>
    <phoneticPr fontId="1"/>
  </si>
  <si>
    <t>马德里竞技</t>
    <phoneticPr fontId="1"/>
  </si>
  <si>
    <t>沙尔克04</t>
    <phoneticPr fontId="1"/>
  </si>
  <si>
    <t>沃尔夫斯堡</t>
    <phoneticPr fontId="1"/>
  </si>
  <si>
    <t>莱比锡红牛</t>
    <phoneticPr fontId="1"/>
  </si>
  <si>
    <t>勒沃库森</t>
    <phoneticPr fontId="1"/>
  </si>
  <si>
    <t>霍芬海姆</t>
    <phoneticPr fontId="1"/>
  </si>
  <si>
    <t>拜仁慕尼黑</t>
    <phoneticPr fontId="1"/>
  </si>
  <si>
    <t>多特蒙德</t>
    <phoneticPr fontId="1"/>
  </si>
  <si>
    <t>亚特兰大</t>
    <phoneticPr fontId="1"/>
  </si>
  <si>
    <t>国际米兰</t>
    <phoneticPr fontId="1"/>
  </si>
  <si>
    <t>博洛尼亚</t>
    <phoneticPr fontId="1"/>
  </si>
  <si>
    <t>拉齐奥</t>
    <phoneticPr fontId="1"/>
  </si>
  <si>
    <t>那不勒斯</t>
    <phoneticPr fontId="1"/>
  </si>
  <si>
    <t>AC米兰</t>
    <phoneticPr fontId="1"/>
  </si>
  <si>
    <t>尤文图斯</t>
    <phoneticPr fontId="1"/>
  </si>
  <si>
    <t>圣彼得堡泽尼特</t>
    <phoneticPr fontId="1"/>
  </si>
  <si>
    <t>贝西克塔斯</t>
    <phoneticPr fontId="1"/>
  </si>
  <si>
    <t>哥本哈根</t>
    <phoneticPr fontId="1"/>
  </si>
  <si>
    <t>基辅迪纳摩</t>
    <phoneticPr fontId="1"/>
  </si>
  <si>
    <t>顿涅茨克矿工</t>
    <phoneticPr fontId="1"/>
  </si>
  <si>
    <t>加拉塔萨雷</t>
    <phoneticPr fontId="1"/>
  </si>
  <si>
    <t>莫斯科中央陆军</t>
    <phoneticPr fontId="1"/>
  </si>
  <si>
    <t>荷葡2</t>
    <phoneticPr fontId="1"/>
  </si>
  <si>
    <r>
      <t>曼</t>
    </r>
    <r>
      <rPr>
        <sz val="11"/>
        <color theme="1"/>
        <rFont val="ＭＳ Ｐゴシック"/>
        <family val="3"/>
        <charset val="134"/>
        <scheme val="minor"/>
      </rPr>
      <t>彻斯特联</t>
    </r>
    <phoneticPr fontId="1"/>
  </si>
  <si>
    <t>巴黎圣日耳曼</t>
    <phoneticPr fontId="1"/>
  </si>
  <si>
    <t>本菲卡</t>
    <phoneticPr fontId="1"/>
  </si>
  <si>
    <t>埃因霍温</t>
  </si>
  <si>
    <t>埃因霍温</t>
    <phoneticPr fontId="1"/>
  </si>
  <si>
    <t>曼彻斯特联</t>
  </si>
  <si>
    <t>第15輪</t>
  </si>
  <si>
    <t>第16輪</t>
  </si>
  <si>
    <t>第17輪</t>
  </si>
  <si>
    <t>第18輪</t>
  </si>
  <si>
    <t>第19輪</t>
  </si>
  <si>
    <t>第20輪</t>
  </si>
  <si>
    <t>第21輪</t>
  </si>
  <si>
    <t>第22輪</t>
  </si>
  <si>
    <t>F</t>
    <phoneticPr fontId="1"/>
  </si>
  <si>
    <t>贝西克塔斯</t>
    <phoneticPr fontId="1"/>
  </si>
  <si>
    <t>曼彻斯特联</t>
    <phoneticPr fontId="1"/>
  </si>
  <si>
    <t>埃因霍温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</si>
</sst>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  <xf numFmtId="0" fontId="0" fillId="4" borderId="7" xfId="0" applyFill="1" applyBorder="1">
      <alignment vertical="center"/>
    </xf>
    <xf numFmtId="0" fontId="2" fillId="4" borderId="7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76"/>
  <sheetViews>
    <sheetView tabSelected="1" zoomScale="85" zoomScaleNormal="85" workbookViewId="0">
      <selection activeCell="D73" sqref="D73"/>
    </sheetView>
  </sheetViews>
  <sheetFormatPr defaultRowHeight="13.5" outlineLevelRow="1"/>
  <cols>
    <col min="1" max="1" width="10.375" customWidth="1"/>
    <col min="2" max="5" width="9.875" customWidth="1"/>
    <col min="6" max="6" width="15.125" bestFit="1" customWidth="1"/>
    <col min="7" max="8" width="9.875" customWidth="1"/>
  </cols>
  <sheetData>
    <row r="1" spans="1:8">
      <c r="B1" s="25" t="s">
        <v>54</v>
      </c>
      <c r="C1" s="25" t="s">
        <v>58</v>
      </c>
      <c r="D1" s="25" t="s">
        <v>52</v>
      </c>
      <c r="E1" s="25" t="s">
        <v>104</v>
      </c>
      <c r="F1" s="25" t="s">
        <v>122</v>
      </c>
    </row>
    <row r="2" spans="1:8">
      <c r="A2" s="26" t="s">
        <v>41</v>
      </c>
      <c r="B2" s="52" t="s">
        <v>96</v>
      </c>
      <c r="C2" s="27" t="s">
        <v>78</v>
      </c>
      <c r="D2" s="27" t="s">
        <v>71</v>
      </c>
      <c r="E2" s="52" t="s">
        <v>111</v>
      </c>
      <c r="F2" s="52" t="s">
        <v>106</v>
      </c>
      <c r="H2" t="s">
        <v>151</v>
      </c>
    </row>
    <row r="3" spans="1:8">
      <c r="A3" s="28" t="s">
        <v>43</v>
      </c>
      <c r="B3" s="27" t="s">
        <v>42</v>
      </c>
      <c r="C3" s="52" t="s">
        <v>79</v>
      </c>
      <c r="D3" s="53" t="s">
        <v>77</v>
      </c>
      <c r="E3" s="27" t="s">
        <v>120</v>
      </c>
      <c r="F3" s="53" t="s">
        <v>77</v>
      </c>
    </row>
    <row r="4" spans="1:8">
      <c r="A4" s="27" t="s">
        <v>45</v>
      </c>
      <c r="B4" s="52" t="s">
        <v>94</v>
      </c>
      <c r="C4" s="27" t="s">
        <v>81</v>
      </c>
      <c r="D4" s="52" t="s">
        <v>44</v>
      </c>
      <c r="E4" s="27" t="s">
        <v>110</v>
      </c>
      <c r="F4" s="52" t="s">
        <v>44</v>
      </c>
    </row>
    <row r="5" spans="1:8">
      <c r="A5" s="29" t="s">
        <v>46</v>
      </c>
      <c r="B5" s="27" t="s">
        <v>88</v>
      </c>
      <c r="C5" s="27" t="s">
        <v>82</v>
      </c>
      <c r="D5" s="27" t="s">
        <v>73</v>
      </c>
      <c r="E5" s="27" t="s">
        <v>109</v>
      </c>
      <c r="F5" s="27"/>
    </row>
    <row r="6" spans="1:8">
      <c r="A6" s="28" t="s">
        <v>47</v>
      </c>
      <c r="B6" s="27" t="s">
        <v>92</v>
      </c>
      <c r="C6" s="28" t="s">
        <v>84</v>
      </c>
      <c r="D6" s="27" t="s">
        <v>74</v>
      </c>
      <c r="E6" s="27" t="s">
        <v>107</v>
      </c>
      <c r="F6" s="27" t="s">
        <v>154</v>
      </c>
    </row>
    <row r="7" spans="1:8">
      <c r="A7" s="26" t="s">
        <v>48</v>
      </c>
      <c r="B7" s="28" t="s">
        <v>93</v>
      </c>
      <c r="C7" s="53" t="s">
        <v>86</v>
      </c>
      <c r="D7" s="27" t="s">
        <v>75</v>
      </c>
      <c r="E7" s="52" t="s">
        <v>106</v>
      </c>
      <c r="F7" s="27" t="s">
        <v>153</v>
      </c>
    </row>
    <row r="8" spans="1:8">
      <c r="A8" s="26" t="s">
        <v>49</v>
      </c>
      <c r="B8" s="28" t="s">
        <v>90</v>
      </c>
      <c r="C8" s="28" t="s">
        <v>87</v>
      </c>
      <c r="D8" s="27" t="s">
        <v>72</v>
      </c>
      <c r="E8" s="27" t="s">
        <v>105</v>
      </c>
      <c r="F8" s="27" t="s">
        <v>152</v>
      </c>
    </row>
    <row r="9" spans="1:8">
      <c r="A9" s="26" t="s">
        <v>41</v>
      </c>
      <c r="B9" s="27"/>
      <c r="C9" s="27"/>
      <c r="D9" s="27"/>
      <c r="E9" s="27"/>
      <c r="F9" s="52" t="s">
        <v>96</v>
      </c>
    </row>
    <row r="10" spans="1:8">
      <c r="A10" s="28" t="s">
        <v>43</v>
      </c>
      <c r="B10" s="27"/>
      <c r="C10" s="27"/>
      <c r="D10" s="28"/>
      <c r="E10" s="27"/>
      <c r="F10" s="27" t="s">
        <v>79</v>
      </c>
    </row>
    <row r="11" spans="1:8">
      <c r="A11" s="27" t="s">
        <v>45</v>
      </c>
      <c r="B11" s="27"/>
      <c r="C11" s="27"/>
      <c r="D11" s="27"/>
      <c r="E11" s="27"/>
      <c r="F11" s="52" t="s">
        <v>111</v>
      </c>
    </row>
    <row r="12" spans="1:8">
      <c r="A12" s="29" t="s">
        <v>46</v>
      </c>
      <c r="B12" s="27"/>
      <c r="C12" s="27"/>
      <c r="D12" s="27"/>
      <c r="E12" s="27"/>
      <c r="F12" s="27"/>
    </row>
    <row r="13" spans="1:8">
      <c r="A13" s="28" t="s">
        <v>47</v>
      </c>
      <c r="B13" s="27"/>
      <c r="C13" s="28"/>
      <c r="D13" s="27"/>
      <c r="E13" s="27"/>
      <c r="F13" s="27" t="s">
        <v>156</v>
      </c>
    </row>
    <row r="14" spans="1:8">
      <c r="A14" s="26" t="s">
        <v>48</v>
      </c>
      <c r="B14" s="28"/>
      <c r="C14" s="28"/>
      <c r="D14" s="27"/>
      <c r="E14" s="27"/>
      <c r="F14" s="53" t="s">
        <v>86</v>
      </c>
    </row>
    <row r="15" spans="1:8">
      <c r="A15" s="26" t="s">
        <v>49</v>
      </c>
      <c r="B15" s="28"/>
      <c r="C15" s="28"/>
      <c r="D15" s="27"/>
      <c r="E15" s="27"/>
      <c r="F15" s="52" t="s">
        <v>94</v>
      </c>
    </row>
    <row r="19" spans="1:8">
      <c r="B19">
        <f ca="1">SUM(B21:B27)</f>
        <v>41</v>
      </c>
      <c r="C19">
        <f t="shared" ref="C19:G19" ca="1" si="0">SUM(C21:C27)</f>
        <v>40</v>
      </c>
      <c r="D19">
        <f t="shared" ca="1" si="0"/>
        <v>40</v>
      </c>
      <c r="E19">
        <f t="shared" ca="1" si="0"/>
        <v>3</v>
      </c>
      <c r="F19">
        <f t="shared" ca="1" si="0"/>
        <v>42</v>
      </c>
      <c r="G19">
        <f t="shared" ca="1" si="0"/>
        <v>40</v>
      </c>
      <c r="H19">
        <f ca="1">SUM(H21:H27)</f>
        <v>44</v>
      </c>
    </row>
    <row r="20" spans="1:8">
      <c r="A20" s="40" t="str">
        <f ca="1">"残比"&amp;SUM(B21:H27)/2</f>
        <v>残比125</v>
      </c>
      <c r="B20" s="32" t="s">
        <v>50</v>
      </c>
      <c r="C20" s="32" t="s">
        <v>43</v>
      </c>
      <c r="D20" s="32" t="s">
        <v>51</v>
      </c>
      <c r="E20" s="32" t="s">
        <v>46</v>
      </c>
      <c r="F20" s="32" t="s">
        <v>47</v>
      </c>
      <c r="G20" s="32" t="s">
        <v>48</v>
      </c>
      <c r="H20" s="32" t="s">
        <v>49</v>
      </c>
    </row>
    <row r="21" spans="1:8">
      <c r="A21" s="30" t="s">
        <v>41</v>
      </c>
      <c r="B21" s="39"/>
      <c r="C21" s="27">
        <f ca="1">C31+C41+C51+C61+C70</f>
        <v>8</v>
      </c>
      <c r="D21" s="27">
        <f t="shared" ref="D21:H22" ca="1" si="1">D31+D41+D51+D61+D70</f>
        <v>8</v>
      </c>
      <c r="E21" s="27">
        <f t="shared" ca="1" si="1"/>
        <v>0</v>
      </c>
      <c r="F21" s="27">
        <f t="shared" ca="1" si="1"/>
        <v>9</v>
      </c>
      <c r="G21" s="27">
        <f t="shared" ca="1" si="1"/>
        <v>8</v>
      </c>
      <c r="H21" s="27">
        <f t="shared" ca="1" si="1"/>
        <v>8</v>
      </c>
    </row>
    <row r="22" spans="1:8">
      <c r="A22" s="31" t="s">
        <v>43</v>
      </c>
      <c r="B22" s="27">
        <f ca="1">B32+B42+B52+B62+B71</f>
        <v>8</v>
      </c>
      <c r="C22" s="39"/>
      <c r="D22" s="27">
        <f t="shared" ca="1" si="1"/>
        <v>8</v>
      </c>
      <c r="E22" s="27">
        <f t="shared" ca="1" si="1"/>
        <v>0</v>
      </c>
      <c r="F22" s="27">
        <f t="shared" ca="1" si="1"/>
        <v>8</v>
      </c>
      <c r="G22" s="27">
        <f t="shared" ca="1" si="1"/>
        <v>8</v>
      </c>
      <c r="H22" s="27">
        <f t="shared" ca="1" si="1"/>
        <v>8</v>
      </c>
    </row>
    <row r="23" spans="1:8">
      <c r="A23" s="32" t="s">
        <v>45</v>
      </c>
      <c r="B23" s="27">
        <f t="shared" ref="B23:F27" ca="1" si="2">B33+B43+B53+B63+B72</f>
        <v>8</v>
      </c>
      <c r="C23" s="27">
        <f t="shared" ca="1" si="2"/>
        <v>8</v>
      </c>
      <c r="D23" s="39"/>
      <c r="E23" s="27">
        <f t="shared" ref="E23:H23" ca="1" si="3">E33+E43+E53+E63+E72</f>
        <v>0</v>
      </c>
      <c r="F23" s="27">
        <f t="shared" ca="1" si="3"/>
        <v>8</v>
      </c>
      <c r="G23" s="27">
        <f t="shared" ca="1" si="3"/>
        <v>8</v>
      </c>
      <c r="H23" s="27">
        <f t="shared" ca="1" si="3"/>
        <v>8</v>
      </c>
    </row>
    <row r="24" spans="1:8">
      <c r="A24" s="30" t="s">
        <v>46</v>
      </c>
      <c r="B24" s="27">
        <f t="shared" ca="1" si="2"/>
        <v>0</v>
      </c>
      <c r="C24" s="27">
        <f t="shared" ca="1" si="2"/>
        <v>0</v>
      </c>
      <c r="D24" s="27">
        <f t="shared" ca="1" si="2"/>
        <v>0</v>
      </c>
      <c r="E24" s="39"/>
      <c r="F24" s="27">
        <f t="shared" ref="F24:H24" ca="1" si="4">F34+F44+F54+F64+F73</f>
        <v>0</v>
      </c>
      <c r="G24" s="27">
        <f t="shared" ca="1" si="4"/>
        <v>0</v>
      </c>
      <c r="H24" s="27">
        <f t="shared" ca="1" si="4"/>
        <v>3</v>
      </c>
    </row>
    <row r="25" spans="1:8">
      <c r="A25" s="31" t="s">
        <v>47</v>
      </c>
      <c r="B25" s="27">
        <f t="shared" ca="1" si="2"/>
        <v>9</v>
      </c>
      <c r="C25" s="27">
        <f t="shared" ca="1" si="2"/>
        <v>8</v>
      </c>
      <c r="D25" s="27">
        <f t="shared" ca="1" si="2"/>
        <v>8</v>
      </c>
      <c r="E25" s="27">
        <f t="shared" ca="1" si="2"/>
        <v>0</v>
      </c>
      <c r="F25" s="39"/>
      <c r="G25" s="27">
        <f t="shared" ref="G25:H25" ca="1" si="5">G35+G45+G55+G65+G74</f>
        <v>8</v>
      </c>
      <c r="H25" s="27">
        <f t="shared" ca="1" si="5"/>
        <v>9</v>
      </c>
    </row>
    <row r="26" spans="1:8">
      <c r="A26" s="30" t="s">
        <v>48</v>
      </c>
      <c r="B26" s="27">
        <f t="shared" ca="1" si="2"/>
        <v>8</v>
      </c>
      <c r="C26" s="27">
        <f t="shared" ca="1" si="2"/>
        <v>8</v>
      </c>
      <c r="D26" s="27">
        <f t="shared" ca="1" si="2"/>
        <v>8</v>
      </c>
      <c r="E26" s="27">
        <f t="shared" ca="1" si="2"/>
        <v>0</v>
      </c>
      <c r="F26" s="27">
        <f t="shared" ca="1" si="2"/>
        <v>8</v>
      </c>
      <c r="G26" s="39"/>
      <c r="H26" s="27">
        <f t="shared" ref="H26" ca="1" si="6">H36+H46+H56+H66+H75</f>
        <v>8</v>
      </c>
    </row>
    <row r="27" spans="1:8">
      <c r="A27" s="30" t="s">
        <v>49</v>
      </c>
      <c r="B27" s="27">
        <f t="shared" ca="1" si="2"/>
        <v>8</v>
      </c>
      <c r="C27" s="27">
        <f t="shared" ca="1" si="2"/>
        <v>8</v>
      </c>
      <c r="D27" s="27">
        <f t="shared" ca="1" si="2"/>
        <v>8</v>
      </c>
      <c r="E27" s="27">
        <f t="shared" ca="1" si="2"/>
        <v>3</v>
      </c>
      <c r="F27" s="27">
        <f t="shared" ca="1" si="2"/>
        <v>9</v>
      </c>
      <c r="G27" s="27">
        <f ca="1">G37+G47+G57+G67+G76</f>
        <v>8</v>
      </c>
      <c r="H27" s="39"/>
    </row>
    <row r="30" spans="1:8" outlineLevel="1">
      <c r="A30" s="36" t="s">
        <v>54</v>
      </c>
      <c r="B30" s="32" t="s">
        <v>50</v>
      </c>
      <c r="C30" s="32" t="s">
        <v>43</v>
      </c>
      <c r="D30" s="32" t="s">
        <v>51</v>
      </c>
      <c r="E30" s="32" t="s">
        <v>46</v>
      </c>
      <c r="F30" s="32" t="s">
        <v>47</v>
      </c>
      <c r="G30" s="32" t="s">
        <v>48</v>
      </c>
      <c r="H30" s="32" t="s">
        <v>49</v>
      </c>
    </row>
    <row r="31" spans="1:8" outlineLevel="1">
      <c r="A31" s="30" t="s">
        <v>41</v>
      </c>
      <c r="B31" s="33"/>
      <c r="C31" s="27">
        <f ca="1">COUNTIF(INDIRECT($A$30&amp;"!$H:$H"),$A31&amp;C$30)+COUNTIF(INDIRECT($A$30&amp;"!$H:$H"),C$30&amp;$A31)</f>
        <v>0</v>
      </c>
      <c r="D31" s="27">
        <f t="shared" ref="D31:H35" ca="1" si="7">COUNTIF(INDIRECT($A$30&amp;"!$H:$H"),$A31&amp;D$30)+COUNTIF(INDIRECT($A$30&amp;"!$H:$H"),D$30&amp;$A31)</f>
        <v>0</v>
      </c>
      <c r="E31" s="27">
        <f t="shared" ca="1" si="7"/>
        <v>0</v>
      </c>
      <c r="F31" s="27">
        <f t="shared" ca="1" si="7"/>
        <v>1</v>
      </c>
      <c r="G31" s="27">
        <f t="shared" ca="1" si="7"/>
        <v>0</v>
      </c>
      <c r="H31" s="27">
        <f t="shared" ca="1" si="7"/>
        <v>0</v>
      </c>
    </row>
    <row r="32" spans="1:8" outlineLevel="1">
      <c r="A32" s="31" t="s">
        <v>43</v>
      </c>
      <c r="B32" s="27">
        <f ca="1">COUNTIF(INDIRECT($A$30&amp;"!$H:$H"),$A32&amp;B$30)+COUNTIF(INDIRECT($A$30&amp;"!$H:$H"),B$30&amp;$A32)</f>
        <v>0</v>
      </c>
      <c r="C32" s="33"/>
      <c r="D32" s="27">
        <f t="shared" ca="1" si="7"/>
        <v>0</v>
      </c>
      <c r="E32" s="27">
        <f t="shared" ca="1" si="7"/>
        <v>0</v>
      </c>
      <c r="F32" s="27">
        <f t="shared" ca="1" si="7"/>
        <v>0</v>
      </c>
      <c r="G32" s="27">
        <f t="shared" ca="1" si="7"/>
        <v>0</v>
      </c>
      <c r="H32" s="27">
        <f t="shared" ca="1" si="7"/>
        <v>0</v>
      </c>
    </row>
    <row r="33" spans="1:8" outlineLevel="1">
      <c r="A33" s="32" t="s">
        <v>45</v>
      </c>
      <c r="B33" s="27">
        <f t="shared" ref="B33:E37" ca="1" si="8">COUNTIF(INDIRECT($A$30&amp;"!$H:$H"),$A33&amp;B$30)+COUNTIF(INDIRECT($A$30&amp;"!$H:$H"),B$30&amp;$A33)</f>
        <v>0</v>
      </c>
      <c r="C33" s="27">
        <f ca="1">COUNTIF(INDIRECT($A$30&amp;"!$H:$H"),$A33&amp;C$30)+COUNTIF(INDIRECT($A$30&amp;"!$H:$H"),C$30&amp;$A33)</f>
        <v>0</v>
      </c>
      <c r="D33" s="33"/>
      <c r="E33" s="27">
        <f t="shared" ca="1" si="7"/>
        <v>0</v>
      </c>
      <c r="F33" s="27">
        <f t="shared" ca="1" si="7"/>
        <v>0</v>
      </c>
      <c r="G33" s="27">
        <f t="shared" ca="1" si="7"/>
        <v>0</v>
      </c>
      <c r="H33" s="27">
        <f t="shared" ca="1" si="7"/>
        <v>0</v>
      </c>
    </row>
    <row r="34" spans="1:8" outlineLevel="1">
      <c r="A34" s="30" t="s">
        <v>46</v>
      </c>
      <c r="B34" s="27">
        <f t="shared" ca="1" si="8"/>
        <v>0</v>
      </c>
      <c r="C34" s="27">
        <f t="shared" ca="1" si="8"/>
        <v>0</v>
      </c>
      <c r="D34" s="27">
        <f t="shared" ca="1" si="8"/>
        <v>0</v>
      </c>
      <c r="E34" s="33"/>
      <c r="F34" s="27">
        <f t="shared" ca="1" si="7"/>
        <v>0</v>
      </c>
      <c r="G34" s="27">
        <f t="shared" ca="1" si="7"/>
        <v>0</v>
      </c>
      <c r="H34" s="27">
        <f t="shared" ca="1" si="7"/>
        <v>1</v>
      </c>
    </row>
    <row r="35" spans="1:8" outlineLevel="1">
      <c r="A35" s="31" t="s">
        <v>47</v>
      </c>
      <c r="B35" s="27">
        <f t="shared" ca="1" si="8"/>
        <v>1</v>
      </c>
      <c r="C35" s="27">
        <f t="shared" ca="1" si="8"/>
        <v>0</v>
      </c>
      <c r="D35" s="27">
        <f t="shared" ca="1" si="8"/>
        <v>0</v>
      </c>
      <c r="E35" s="27">
        <f t="shared" ca="1" si="8"/>
        <v>0</v>
      </c>
      <c r="F35" s="33"/>
      <c r="G35" s="27">
        <f t="shared" ca="1" si="7"/>
        <v>0</v>
      </c>
      <c r="H35" s="27">
        <f t="shared" ca="1" si="7"/>
        <v>1</v>
      </c>
    </row>
    <row r="36" spans="1:8" outlineLevel="1">
      <c r="A36" s="30" t="s">
        <v>48</v>
      </c>
      <c r="B36" s="27">
        <f t="shared" ca="1" si="8"/>
        <v>0</v>
      </c>
      <c r="C36" s="27">
        <f t="shared" ca="1" si="8"/>
        <v>0</v>
      </c>
      <c r="D36" s="27">
        <f t="shared" ca="1" si="8"/>
        <v>0</v>
      </c>
      <c r="E36" s="27">
        <f t="shared" ca="1" si="8"/>
        <v>0</v>
      </c>
      <c r="F36" s="27">
        <f ca="1">COUNTIF(INDIRECT($A$30&amp;"!$H:$H"),$A36&amp;F$30)+COUNTIF(INDIRECT($A$30&amp;"!$H:$H"),F$30&amp;$A36)</f>
        <v>0</v>
      </c>
      <c r="G36" s="33"/>
      <c r="H36" s="27">
        <f ca="1">COUNTIF(INDIRECT($A$30&amp;"!$H:$H"),$A36&amp;H$30)+COUNTIF(INDIRECT($A$30&amp;"!$H:$H"),H$30&amp;$A36)</f>
        <v>0</v>
      </c>
    </row>
    <row r="37" spans="1:8" outlineLevel="1">
      <c r="A37" s="30" t="s">
        <v>49</v>
      </c>
      <c r="B37" s="27">
        <f t="shared" ca="1" si="8"/>
        <v>0</v>
      </c>
      <c r="C37" s="27">
        <f t="shared" ca="1" si="8"/>
        <v>0</v>
      </c>
      <c r="D37" s="27">
        <f t="shared" ca="1" si="8"/>
        <v>0</v>
      </c>
      <c r="E37" s="27">
        <f t="shared" ca="1" si="8"/>
        <v>1</v>
      </c>
      <c r="F37" s="27">
        <f t="shared" ref="F37:G37" ca="1" si="9">COUNTIF(INDIRECT($A$30&amp;"!$H:$H"),$A37&amp;F$30)+COUNTIF(INDIRECT($A$30&amp;"!$H:$H"),F$30&amp;$A37)</f>
        <v>1</v>
      </c>
      <c r="G37" s="27">
        <f t="shared" ca="1" si="9"/>
        <v>0</v>
      </c>
      <c r="H37" s="33"/>
    </row>
    <row r="38" spans="1:8" outlineLevel="1"/>
    <row r="39" spans="1:8" outlineLevel="1"/>
    <row r="40" spans="1:8" outlineLevel="1">
      <c r="A40" s="34" t="s">
        <v>53</v>
      </c>
      <c r="B40" s="32" t="s">
        <v>50</v>
      </c>
      <c r="C40" s="32" t="s">
        <v>43</v>
      </c>
      <c r="D40" s="32" t="s">
        <v>51</v>
      </c>
      <c r="E40" s="32" t="s">
        <v>46</v>
      </c>
      <c r="F40" s="32" t="s">
        <v>47</v>
      </c>
      <c r="G40" s="32" t="s">
        <v>48</v>
      </c>
      <c r="H40" s="32" t="s">
        <v>49</v>
      </c>
    </row>
    <row r="41" spans="1:8" outlineLevel="1">
      <c r="A41" s="30" t="s">
        <v>41</v>
      </c>
      <c r="B41" s="33"/>
      <c r="C41" s="27">
        <f ca="1">COUNTIF(INDIRECT($A$40&amp;"!$H:$H"),$A41&amp;C$30)+COUNTIF(INDIRECT($A$40&amp;"!$H:$H"),C$30&amp;$A41)</f>
        <v>0</v>
      </c>
      <c r="D41" s="27">
        <f t="shared" ref="D41:H46" ca="1" si="10">COUNTIF(INDIRECT($A$40&amp;"!$H:$H"),$A41&amp;D$30)+COUNTIF(INDIRECT($A$40&amp;"!$H:$H"),D$30&amp;$A41)</f>
        <v>0</v>
      </c>
      <c r="E41" s="27">
        <f t="shared" ca="1" si="10"/>
        <v>0</v>
      </c>
      <c r="F41" s="27">
        <f t="shared" ca="1" si="10"/>
        <v>0</v>
      </c>
      <c r="G41" s="27">
        <f t="shared" ca="1" si="10"/>
        <v>0</v>
      </c>
      <c r="H41" s="27">
        <f t="shared" ca="1" si="10"/>
        <v>0</v>
      </c>
    </row>
    <row r="42" spans="1:8" outlineLevel="1">
      <c r="A42" s="31" t="s">
        <v>43</v>
      </c>
      <c r="B42" s="27">
        <f ca="1">COUNTIF(INDIRECT($A$40&amp;"!$H:$H"),$A42&amp;B$30)+COUNTIF(INDIRECT($A$40&amp;"!$H:$H"),B$30&amp;$A42)</f>
        <v>0</v>
      </c>
      <c r="C42" s="33"/>
      <c r="D42" s="27">
        <f t="shared" ca="1" si="10"/>
        <v>0</v>
      </c>
      <c r="E42" s="27">
        <f t="shared" ca="1" si="10"/>
        <v>0</v>
      </c>
      <c r="F42" s="27">
        <f t="shared" ca="1" si="10"/>
        <v>0</v>
      </c>
      <c r="G42" s="27">
        <f t="shared" ca="1" si="10"/>
        <v>0</v>
      </c>
      <c r="H42" s="27">
        <f t="shared" ca="1" si="10"/>
        <v>0</v>
      </c>
    </row>
    <row r="43" spans="1:8" outlineLevel="1">
      <c r="A43" s="32" t="s">
        <v>45</v>
      </c>
      <c r="B43" s="27">
        <f t="shared" ref="B43:F47" ca="1" si="11">COUNTIF(INDIRECT($A$40&amp;"!$H:$H"),$A43&amp;B$30)+COUNTIF(INDIRECT($A$40&amp;"!$H:$H"),B$30&amp;$A43)</f>
        <v>0</v>
      </c>
      <c r="C43" s="27">
        <f t="shared" ca="1" si="11"/>
        <v>0</v>
      </c>
      <c r="D43" s="33"/>
      <c r="E43" s="27">
        <f t="shared" ca="1" si="10"/>
        <v>0</v>
      </c>
      <c r="F43" s="27">
        <f t="shared" ca="1" si="10"/>
        <v>0</v>
      </c>
      <c r="G43" s="27">
        <f t="shared" ca="1" si="10"/>
        <v>0</v>
      </c>
      <c r="H43" s="27">
        <f t="shared" ca="1" si="10"/>
        <v>0</v>
      </c>
    </row>
    <row r="44" spans="1:8" outlineLevel="1">
      <c r="A44" s="30" t="s">
        <v>46</v>
      </c>
      <c r="B44" s="27">
        <f t="shared" ca="1" si="11"/>
        <v>0</v>
      </c>
      <c r="C44" s="27">
        <f t="shared" ca="1" si="11"/>
        <v>0</v>
      </c>
      <c r="D44" s="27">
        <f t="shared" ca="1" si="11"/>
        <v>0</v>
      </c>
      <c r="E44" s="33"/>
      <c r="F44" s="27">
        <f t="shared" ca="1" si="10"/>
        <v>0</v>
      </c>
      <c r="G44" s="27">
        <f t="shared" ca="1" si="10"/>
        <v>0</v>
      </c>
      <c r="H44" s="27">
        <f t="shared" ca="1" si="10"/>
        <v>0</v>
      </c>
    </row>
    <row r="45" spans="1:8" outlineLevel="1">
      <c r="A45" s="31" t="s">
        <v>47</v>
      </c>
      <c r="B45" s="27">
        <f t="shared" ca="1" si="11"/>
        <v>0</v>
      </c>
      <c r="C45" s="27">
        <f t="shared" ca="1" si="11"/>
        <v>0</v>
      </c>
      <c r="D45" s="27">
        <f t="shared" ca="1" si="11"/>
        <v>0</v>
      </c>
      <c r="E45" s="27">
        <f t="shared" ca="1" si="11"/>
        <v>0</v>
      </c>
      <c r="F45" s="33"/>
      <c r="G45" s="27">
        <f t="shared" ca="1" si="10"/>
        <v>0</v>
      </c>
      <c r="H45" s="27">
        <f t="shared" ca="1" si="10"/>
        <v>0</v>
      </c>
    </row>
    <row r="46" spans="1:8" outlineLevel="1">
      <c r="A46" s="30" t="s">
        <v>48</v>
      </c>
      <c r="B46" s="27">
        <f t="shared" ca="1" si="11"/>
        <v>0</v>
      </c>
      <c r="C46" s="27">
        <f t="shared" ca="1" si="11"/>
        <v>0</v>
      </c>
      <c r="D46" s="27">
        <f t="shared" ca="1" si="11"/>
        <v>0</v>
      </c>
      <c r="E46" s="27">
        <f t="shared" ca="1" si="11"/>
        <v>0</v>
      </c>
      <c r="F46" s="27">
        <f t="shared" ca="1" si="11"/>
        <v>0</v>
      </c>
      <c r="G46" s="33"/>
      <c r="H46" s="27">
        <f t="shared" ca="1" si="10"/>
        <v>0</v>
      </c>
    </row>
    <row r="47" spans="1:8" outlineLevel="1">
      <c r="A47" s="30" t="s">
        <v>49</v>
      </c>
      <c r="B47" s="27">
        <f t="shared" ca="1" si="11"/>
        <v>0</v>
      </c>
      <c r="C47" s="27">
        <f t="shared" ca="1" si="11"/>
        <v>0</v>
      </c>
      <c r="D47" s="27">
        <f t="shared" ca="1" si="11"/>
        <v>0</v>
      </c>
      <c r="E47" s="27">
        <f t="shared" ca="1" si="11"/>
        <v>0</v>
      </c>
      <c r="F47" s="27">
        <f t="shared" ca="1" si="11"/>
        <v>0</v>
      </c>
      <c r="G47" s="27">
        <f ca="1">COUNTIF(INDIRECT($A$40&amp;"!$H:$H"),$A47&amp;G$30)+COUNTIF(INDIRECT($A$40&amp;"!$H:$H"),G$30&amp;$A47)</f>
        <v>0</v>
      </c>
      <c r="H47" s="33"/>
    </row>
    <row r="48" spans="1:8" outlineLevel="1"/>
    <row r="49" spans="1:8" outlineLevel="1"/>
    <row r="50" spans="1:8" outlineLevel="1">
      <c r="A50" s="34" t="s">
        <v>52</v>
      </c>
      <c r="B50" s="32" t="s">
        <v>50</v>
      </c>
      <c r="C50" s="32" t="s">
        <v>43</v>
      </c>
      <c r="D50" s="32" t="s">
        <v>51</v>
      </c>
      <c r="E50" s="32" t="s">
        <v>46</v>
      </c>
      <c r="F50" s="32" t="s">
        <v>47</v>
      </c>
      <c r="G50" s="32" t="s">
        <v>48</v>
      </c>
      <c r="H50" s="32" t="s">
        <v>49</v>
      </c>
    </row>
    <row r="51" spans="1:8" outlineLevel="1">
      <c r="A51" s="30" t="s">
        <v>41</v>
      </c>
      <c r="B51" s="33"/>
      <c r="C51" s="27">
        <f ca="1">COUNTIF(INDIRECT($A$50&amp;"!$H:$H"),$A51&amp;C$30)+COUNTIF(INDIRECT($A$50&amp;"!$H:$H"),C$30&amp;$A51)</f>
        <v>0</v>
      </c>
      <c r="D51" s="27">
        <f t="shared" ref="D51:H56" ca="1" si="12">COUNTIF(INDIRECT($A$50&amp;"!$H:$H"),$A51&amp;D$30)+COUNTIF(INDIRECT($A$50&amp;"!$H:$H"),D$30&amp;$A51)</f>
        <v>0</v>
      </c>
      <c r="E51" s="27">
        <f t="shared" ca="1" si="12"/>
        <v>0</v>
      </c>
      <c r="F51" s="27">
        <f t="shared" ca="1" si="12"/>
        <v>0</v>
      </c>
      <c r="G51" s="27">
        <f t="shared" ca="1" si="12"/>
        <v>0</v>
      </c>
      <c r="H51" s="27">
        <f t="shared" ca="1" si="12"/>
        <v>0</v>
      </c>
    </row>
    <row r="52" spans="1:8" outlineLevel="1">
      <c r="A52" s="31" t="s">
        <v>43</v>
      </c>
      <c r="B52" s="27">
        <f ca="1">COUNTIF(INDIRECT($A$50&amp;"!$H:$H"),$A52&amp;B$30)+COUNTIF(INDIRECT($A$50&amp;"!$H:$H"),B$30&amp;$A52)</f>
        <v>0</v>
      </c>
      <c r="C52" s="33"/>
      <c r="D52" s="27">
        <f t="shared" ca="1" si="12"/>
        <v>0</v>
      </c>
      <c r="E52" s="27">
        <f t="shared" ca="1" si="12"/>
        <v>0</v>
      </c>
      <c r="F52" s="27">
        <f t="shared" ca="1" si="12"/>
        <v>0</v>
      </c>
      <c r="G52" s="27">
        <f t="shared" ca="1" si="12"/>
        <v>0</v>
      </c>
      <c r="H52" s="27">
        <f t="shared" ca="1" si="12"/>
        <v>0</v>
      </c>
    </row>
    <row r="53" spans="1:8" outlineLevel="1">
      <c r="A53" s="32" t="s">
        <v>45</v>
      </c>
      <c r="B53" s="27">
        <f t="shared" ref="B53:F57" ca="1" si="13">COUNTIF(INDIRECT($A$50&amp;"!$H:$H"),$A53&amp;B$30)+COUNTIF(INDIRECT($A$50&amp;"!$H:$H"),B$30&amp;$A53)</f>
        <v>0</v>
      </c>
      <c r="C53" s="27">
        <f t="shared" ca="1" si="13"/>
        <v>0</v>
      </c>
      <c r="D53" s="33"/>
      <c r="E53" s="27">
        <f t="shared" ca="1" si="12"/>
        <v>0</v>
      </c>
      <c r="F53" s="27">
        <f t="shared" ca="1" si="12"/>
        <v>0</v>
      </c>
      <c r="G53" s="27">
        <f t="shared" ca="1" si="12"/>
        <v>0</v>
      </c>
      <c r="H53" s="27">
        <f t="shared" ca="1" si="12"/>
        <v>0</v>
      </c>
    </row>
    <row r="54" spans="1:8" outlineLevel="1">
      <c r="A54" s="30" t="s">
        <v>46</v>
      </c>
      <c r="B54" s="27">
        <f t="shared" ca="1" si="13"/>
        <v>0</v>
      </c>
      <c r="C54" s="27">
        <f t="shared" ca="1" si="13"/>
        <v>0</v>
      </c>
      <c r="D54" s="27">
        <f t="shared" ca="1" si="13"/>
        <v>0</v>
      </c>
      <c r="E54" s="33"/>
      <c r="F54" s="27">
        <f t="shared" ca="1" si="12"/>
        <v>0</v>
      </c>
      <c r="G54" s="27">
        <f t="shared" ca="1" si="12"/>
        <v>0</v>
      </c>
      <c r="H54" s="27">
        <f t="shared" ca="1" si="12"/>
        <v>0</v>
      </c>
    </row>
    <row r="55" spans="1:8" outlineLevel="1">
      <c r="A55" s="31" t="s">
        <v>47</v>
      </c>
      <c r="B55" s="27">
        <f t="shared" ca="1" si="13"/>
        <v>0</v>
      </c>
      <c r="C55" s="27">
        <f t="shared" ca="1" si="13"/>
        <v>0</v>
      </c>
      <c r="D55" s="27">
        <f t="shared" ca="1" si="13"/>
        <v>0</v>
      </c>
      <c r="E55" s="27">
        <f t="shared" ca="1" si="13"/>
        <v>0</v>
      </c>
      <c r="F55" s="33"/>
      <c r="G55" s="27">
        <f t="shared" ca="1" si="12"/>
        <v>0</v>
      </c>
      <c r="H55" s="27">
        <f t="shared" ca="1" si="12"/>
        <v>0</v>
      </c>
    </row>
    <row r="56" spans="1:8" outlineLevel="1">
      <c r="A56" s="30" t="s">
        <v>48</v>
      </c>
      <c r="B56" s="27">
        <f t="shared" ca="1" si="13"/>
        <v>0</v>
      </c>
      <c r="C56" s="27">
        <f t="shared" ca="1" si="13"/>
        <v>0</v>
      </c>
      <c r="D56" s="27">
        <f t="shared" ca="1" si="13"/>
        <v>0</v>
      </c>
      <c r="E56" s="27">
        <f t="shared" ca="1" si="13"/>
        <v>0</v>
      </c>
      <c r="F56" s="27">
        <f t="shared" ca="1" si="13"/>
        <v>0</v>
      </c>
      <c r="G56" s="33"/>
      <c r="H56" s="27">
        <f t="shared" ca="1" si="12"/>
        <v>0</v>
      </c>
    </row>
    <row r="57" spans="1:8" outlineLevel="1">
      <c r="A57" s="30" t="s">
        <v>49</v>
      </c>
      <c r="B57" s="27">
        <f t="shared" ca="1" si="13"/>
        <v>0</v>
      </c>
      <c r="C57" s="27">
        <f t="shared" ca="1" si="13"/>
        <v>0</v>
      </c>
      <c r="D57" s="27">
        <f t="shared" ca="1" si="13"/>
        <v>0</v>
      </c>
      <c r="E57" s="27">
        <f t="shared" ca="1" si="13"/>
        <v>0</v>
      </c>
      <c r="F57" s="27">
        <f t="shared" ca="1" si="13"/>
        <v>0</v>
      </c>
      <c r="G57" s="27">
        <f ca="1">COUNTIF(INDIRECT($A$50&amp;"!$H:$H"),$A57&amp;G$30)+COUNTIF(INDIRECT($A$50&amp;"!$H:$H"),G$30&amp;$A57)</f>
        <v>0</v>
      </c>
      <c r="H57" s="33"/>
    </row>
    <row r="58" spans="1:8" outlineLevel="1"/>
    <row r="59" spans="1:8" outlineLevel="1"/>
    <row r="60" spans="1:8" outlineLevel="1">
      <c r="A60" s="36" t="s">
        <v>104</v>
      </c>
      <c r="B60" s="32" t="s">
        <v>50</v>
      </c>
      <c r="C60" s="32" t="s">
        <v>43</v>
      </c>
      <c r="D60" s="32" t="s">
        <v>51</v>
      </c>
      <c r="E60" s="32" t="s">
        <v>46</v>
      </c>
      <c r="F60" s="32" t="s">
        <v>47</v>
      </c>
      <c r="G60" s="32" t="s">
        <v>48</v>
      </c>
      <c r="H60" s="32" t="s">
        <v>49</v>
      </c>
    </row>
    <row r="61" spans="1:8" outlineLevel="1">
      <c r="A61" s="30" t="s">
        <v>41</v>
      </c>
      <c r="B61" s="33"/>
      <c r="C61" s="27">
        <f ca="1">COUNTIF(INDIRECT($A$60&amp;"!$H:$H"),$A61&amp;C$30)+COUNTIF(INDIRECT($A$60&amp;"!$H:$H"),C$30&amp;$A61)</f>
        <v>0</v>
      </c>
      <c r="D61" s="27">
        <f t="shared" ref="D61:H66" ca="1" si="14">COUNTIF(INDIRECT($A$60&amp;"!$H:$H"),$A61&amp;D$30)+COUNTIF(INDIRECT($A$60&amp;"!$H:$H"),D$30&amp;$A61)</f>
        <v>0</v>
      </c>
      <c r="E61" s="27">
        <f t="shared" ca="1" si="14"/>
        <v>0</v>
      </c>
      <c r="F61" s="27">
        <f t="shared" ca="1" si="14"/>
        <v>0</v>
      </c>
      <c r="G61" s="27">
        <f t="shared" ca="1" si="14"/>
        <v>0</v>
      </c>
      <c r="H61" s="27">
        <f t="shared" ca="1" si="14"/>
        <v>0</v>
      </c>
    </row>
    <row r="62" spans="1:8" outlineLevel="1">
      <c r="A62" s="31" t="s">
        <v>43</v>
      </c>
      <c r="B62" s="27">
        <f ca="1">COUNTIF(INDIRECT($A$60&amp;"!$H:$H"),$A62&amp;B$30)+COUNTIF(INDIRECT($A$60&amp;"!$H:$H"),B$30&amp;$A62)</f>
        <v>0</v>
      </c>
      <c r="C62" s="33"/>
      <c r="D62" s="27">
        <f t="shared" ca="1" si="14"/>
        <v>0</v>
      </c>
      <c r="E62" s="27">
        <f t="shared" ca="1" si="14"/>
        <v>0</v>
      </c>
      <c r="F62" s="27">
        <f t="shared" ca="1" si="14"/>
        <v>0</v>
      </c>
      <c r="G62" s="27">
        <f t="shared" ca="1" si="14"/>
        <v>0</v>
      </c>
      <c r="H62" s="27">
        <f t="shared" ca="1" si="14"/>
        <v>0</v>
      </c>
    </row>
    <row r="63" spans="1:8" outlineLevel="1">
      <c r="A63" s="32" t="s">
        <v>45</v>
      </c>
      <c r="B63" s="27">
        <f t="shared" ref="B63:F67" ca="1" si="15">COUNTIF(INDIRECT($A$60&amp;"!$H:$H"),$A63&amp;B$30)+COUNTIF(INDIRECT($A$60&amp;"!$H:$H"),B$30&amp;$A63)</f>
        <v>0</v>
      </c>
      <c r="C63" s="27">
        <f t="shared" ca="1" si="15"/>
        <v>0</v>
      </c>
      <c r="D63" s="33"/>
      <c r="E63" s="27">
        <f t="shared" ca="1" si="14"/>
        <v>0</v>
      </c>
      <c r="F63" s="27">
        <f t="shared" ca="1" si="14"/>
        <v>0</v>
      </c>
      <c r="G63" s="27">
        <f t="shared" ca="1" si="14"/>
        <v>0</v>
      </c>
      <c r="H63" s="27">
        <f t="shared" ca="1" si="14"/>
        <v>0</v>
      </c>
    </row>
    <row r="64" spans="1:8" outlineLevel="1">
      <c r="A64" s="30" t="s">
        <v>46</v>
      </c>
      <c r="B64" s="27">
        <f t="shared" ca="1" si="15"/>
        <v>0</v>
      </c>
      <c r="C64" s="27">
        <f t="shared" ca="1" si="15"/>
        <v>0</v>
      </c>
      <c r="D64" s="27">
        <f t="shared" ca="1" si="15"/>
        <v>0</v>
      </c>
      <c r="E64" s="33"/>
      <c r="F64" s="27">
        <f t="shared" ca="1" si="14"/>
        <v>0</v>
      </c>
      <c r="G64" s="27">
        <f t="shared" ca="1" si="14"/>
        <v>0</v>
      </c>
      <c r="H64" s="27">
        <f t="shared" ca="1" si="14"/>
        <v>2</v>
      </c>
    </row>
    <row r="65" spans="1:8" outlineLevel="1">
      <c r="A65" s="31" t="s">
        <v>47</v>
      </c>
      <c r="B65" s="27">
        <f t="shared" ca="1" si="15"/>
        <v>0</v>
      </c>
      <c r="C65" s="27">
        <f t="shared" ca="1" si="15"/>
        <v>0</v>
      </c>
      <c r="D65" s="27">
        <f t="shared" ca="1" si="15"/>
        <v>0</v>
      </c>
      <c r="E65" s="27">
        <f t="shared" ca="1" si="15"/>
        <v>0</v>
      </c>
      <c r="F65" s="33"/>
      <c r="G65" s="27">
        <f t="shared" ca="1" si="14"/>
        <v>0</v>
      </c>
      <c r="H65" s="27">
        <f t="shared" ca="1" si="14"/>
        <v>0</v>
      </c>
    </row>
    <row r="66" spans="1:8" outlineLevel="1">
      <c r="A66" s="30" t="s">
        <v>48</v>
      </c>
      <c r="B66" s="27">
        <f t="shared" ca="1" si="15"/>
        <v>0</v>
      </c>
      <c r="C66" s="27">
        <f t="shared" ca="1" si="15"/>
        <v>0</v>
      </c>
      <c r="D66" s="27">
        <f t="shared" ca="1" si="15"/>
        <v>0</v>
      </c>
      <c r="E66" s="27">
        <f t="shared" ca="1" si="15"/>
        <v>0</v>
      </c>
      <c r="F66" s="27">
        <f t="shared" ca="1" si="15"/>
        <v>0</v>
      </c>
      <c r="G66" s="33"/>
      <c r="H66" s="27">
        <f t="shared" ca="1" si="14"/>
        <v>0</v>
      </c>
    </row>
    <row r="67" spans="1:8" outlineLevel="1">
      <c r="A67" s="30" t="s">
        <v>49</v>
      </c>
      <c r="B67" s="27">
        <f t="shared" ca="1" si="15"/>
        <v>0</v>
      </c>
      <c r="C67" s="27">
        <f t="shared" ca="1" si="15"/>
        <v>0</v>
      </c>
      <c r="D67" s="27">
        <f t="shared" ca="1" si="15"/>
        <v>0</v>
      </c>
      <c r="E67" s="27">
        <f t="shared" ca="1" si="15"/>
        <v>2</v>
      </c>
      <c r="F67" s="27">
        <f t="shared" ca="1" si="15"/>
        <v>0</v>
      </c>
      <c r="G67" s="27">
        <f ca="1">COUNTIF(INDIRECT($A$60&amp;"!$H:$H"),$A67&amp;G$30)+COUNTIF(INDIRECT($A$60&amp;"!$H:$H"),G$30&amp;$A67)</f>
        <v>0</v>
      </c>
      <c r="H67" s="33"/>
    </row>
    <row r="69" spans="1:8" outlineLevel="1">
      <c r="A69" s="36" t="s">
        <v>122</v>
      </c>
      <c r="B69" s="32" t="s">
        <v>50</v>
      </c>
      <c r="C69" s="32" t="s">
        <v>43</v>
      </c>
      <c r="D69" s="32" t="s">
        <v>51</v>
      </c>
      <c r="E69" s="32" t="s">
        <v>46</v>
      </c>
      <c r="F69" s="32" t="s">
        <v>47</v>
      </c>
      <c r="G69" s="32" t="s">
        <v>48</v>
      </c>
      <c r="H69" s="32" t="s">
        <v>49</v>
      </c>
    </row>
    <row r="70" spans="1:8" outlineLevel="1">
      <c r="A70" s="30" t="s">
        <v>41</v>
      </c>
      <c r="B70" s="33"/>
      <c r="C70" s="27">
        <f t="shared" ref="B70:H76" ca="1" si="16">COUNTIF(INDIRECT($A$69&amp;"!$H:$H"),$A70&amp;C$30)+COUNTIF(INDIRECT($A$69&amp;"!$H:$H"),C$30&amp;$A70)</f>
        <v>8</v>
      </c>
      <c r="D70" s="27">
        <f t="shared" ca="1" si="16"/>
        <v>8</v>
      </c>
      <c r="E70" s="33">
        <f t="shared" ca="1" si="16"/>
        <v>0</v>
      </c>
      <c r="F70" s="27">
        <f t="shared" ca="1" si="16"/>
        <v>8</v>
      </c>
      <c r="G70" s="27">
        <f t="shared" ca="1" si="16"/>
        <v>8</v>
      </c>
      <c r="H70" s="27">
        <f t="shared" ca="1" si="16"/>
        <v>8</v>
      </c>
    </row>
    <row r="71" spans="1:8" outlineLevel="1">
      <c r="A71" s="31" t="s">
        <v>43</v>
      </c>
      <c r="B71" s="27">
        <f ca="1">COUNTIF(INDIRECT($A$69&amp;"!$H:$H"),$A71&amp;B$30)+COUNTIF(INDIRECT($A$69&amp;"!$H:$H"),B$30&amp;$A71)</f>
        <v>8</v>
      </c>
      <c r="C71" s="33"/>
      <c r="D71" s="27">
        <f t="shared" ca="1" si="16"/>
        <v>8</v>
      </c>
      <c r="E71" s="33">
        <f t="shared" ca="1" si="16"/>
        <v>0</v>
      </c>
      <c r="F71" s="27">
        <f t="shared" ca="1" si="16"/>
        <v>8</v>
      </c>
      <c r="G71" s="27">
        <f t="shared" ca="1" si="16"/>
        <v>8</v>
      </c>
      <c r="H71" s="27">
        <f t="shared" ca="1" si="16"/>
        <v>8</v>
      </c>
    </row>
    <row r="72" spans="1:8" outlineLevel="1">
      <c r="A72" s="32" t="s">
        <v>45</v>
      </c>
      <c r="B72" s="27">
        <f t="shared" ca="1" si="16"/>
        <v>8</v>
      </c>
      <c r="C72" s="27">
        <f t="shared" ca="1" si="16"/>
        <v>8</v>
      </c>
      <c r="D72" s="33"/>
      <c r="E72" s="33">
        <f t="shared" ca="1" si="16"/>
        <v>0</v>
      </c>
      <c r="F72" s="27">
        <f t="shared" ca="1" si="16"/>
        <v>8</v>
      </c>
      <c r="G72" s="27">
        <f t="shared" ca="1" si="16"/>
        <v>8</v>
      </c>
      <c r="H72" s="27">
        <f t="shared" ca="1" si="16"/>
        <v>8</v>
      </c>
    </row>
    <row r="73" spans="1:8" outlineLevel="1">
      <c r="A73" s="30" t="s">
        <v>46</v>
      </c>
      <c r="B73" s="27">
        <f t="shared" ca="1" si="16"/>
        <v>0</v>
      </c>
      <c r="C73" s="27">
        <f t="shared" ca="1" si="16"/>
        <v>0</v>
      </c>
      <c r="D73" s="27">
        <f t="shared" ca="1" si="16"/>
        <v>0</v>
      </c>
      <c r="E73" s="33">
        <f t="shared" ca="1" si="16"/>
        <v>0</v>
      </c>
      <c r="F73" s="27">
        <f t="shared" ca="1" si="16"/>
        <v>0</v>
      </c>
      <c r="G73" s="27">
        <f t="shared" ca="1" si="16"/>
        <v>0</v>
      </c>
      <c r="H73" s="27">
        <f t="shared" ca="1" si="16"/>
        <v>0</v>
      </c>
    </row>
    <row r="74" spans="1:8" outlineLevel="1">
      <c r="A74" s="31" t="s">
        <v>47</v>
      </c>
      <c r="B74" s="27">
        <f t="shared" ca="1" si="16"/>
        <v>8</v>
      </c>
      <c r="C74" s="27">
        <f t="shared" ca="1" si="16"/>
        <v>8</v>
      </c>
      <c r="D74" s="27">
        <f t="shared" ca="1" si="16"/>
        <v>8</v>
      </c>
      <c r="E74" s="33">
        <f t="shared" ca="1" si="16"/>
        <v>0</v>
      </c>
      <c r="F74" s="33"/>
      <c r="G74" s="27">
        <f t="shared" ca="1" si="16"/>
        <v>8</v>
      </c>
      <c r="H74" s="27">
        <f t="shared" ca="1" si="16"/>
        <v>8</v>
      </c>
    </row>
    <row r="75" spans="1:8" outlineLevel="1">
      <c r="A75" s="30" t="s">
        <v>48</v>
      </c>
      <c r="B75" s="27">
        <f t="shared" ca="1" si="16"/>
        <v>8</v>
      </c>
      <c r="C75" s="27">
        <f t="shared" ca="1" si="16"/>
        <v>8</v>
      </c>
      <c r="D75" s="27">
        <f t="shared" ca="1" si="16"/>
        <v>8</v>
      </c>
      <c r="E75" s="33">
        <f t="shared" ca="1" si="16"/>
        <v>0</v>
      </c>
      <c r="F75" s="27">
        <f t="shared" ca="1" si="16"/>
        <v>8</v>
      </c>
      <c r="G75" s="33"/>
      <c r="H75" s="27">
        <f t="shared" ca="1" si="16"/>
        <v>8</v>
      </c>
    </row>
    <row r="76" spans="1:8">
      <c r="A76" s="30" t="s">
        <v>49</v>
      </c>
      <c r="B76" s="27">
        <f t="shared" ca="1" si="16"/>
        <v>8</v>
      </c>
      <c r="C76" s="27">
        <f t="shared" ca="1" si="16"/>
        <v>8</v>
      </c>
      <c r="D76" s="27">
        <f t="shared" ca="1" si="16"/>
        <v>8</v>
      </c>
      <c r="E76" s="33">
        <f t="shared" ca="1" si="16"/>
        <v>0</v>
      </c>
      <c r="F76" s="27">
        <f t="shared" ca="1" si="16"/>
        <v>8</v>
      </c>
      <c r="G76" s="27">
        <f t="shared" ca="1" si="16"/>
        <v>8</v>
      </c>
      <c r="H76" s="33"/>
    </row>
  </sheetData>
  <phoneticPr fontId="1"/>
  <conditionalFormatting sqref="B21:H27">
    <cfRule type="colorScale" priority="1">
      <colorScale>
        <cfvo type="num" val="0"/>
        <cfvo type="num" val="10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K19" sqref="K19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59</v>
      </c>
      <c r="M1" s="22"/>
    </row>
    <row r="2" spans="1:13">
      <c r="A2" s="3">
        <v>1</v>
      </c>
      <c r="B2" s="2" t="s">
        <v>123</v>
      </c>
      <c r="C2" s="2">
        <v>11</v>
      </c>
      <c r="D2" s="2">
        <v>9</v>
      </c>
      <c r="E2" s="2">
        <v>0</v>
      </c>
      <c r="F2" s="2">
        <v>2</v>
      </c>
      <c r="G2" s="2">
        <v>26</v>
      </c>
      <c r="H2" s="2">
        <v>9</v>
      </c>
      <c r="I2" s="2">
        <v>17</v>
      </c>
      <c r="J2" s="9">
        <v>27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30</v>
      </c>
      <c r="M2" s="22"/>
    </row>
    <row r="3" spans="1:13">
      <c r="A3" s="3">
        <v>2</v>
      </c>
      <c r="B3" s="2" t="s">
        <v>124</v>
      </c>
      <c r="C3" s="2">
        <v>12</v>
      </c>
      <c r="D3" s="2">
        <v>7</v>
      </c>
      <c r="E3" s="2">
        <v>3</v>
      </c>
      <c r="F3" s="2">
        <v>2</v>
      </c>
      <c r="G3" s="2">
        <v>18</v>
      </c>
      <c r="H3" s="2">
        <v>9</v>
      </c>
      <c r="I3" s="2">
        <v>9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  <c r="M3" s="22"/>
    </row>
    <row r="4" spans="1:13">
      <c r="A4" s="3">
        <v>3</v>
      </c>
      <c r="B4" s="2" t="s">
        <v>125</v>
      </c>
      <c r="C4" s="2">
        <v>12</v>
      </c>
      <c r="D4" s="2">
        <v>5</v>
      </c>
      <c r="E4" s="2">
        <v>4</v>
      </c>
      <c r="F4" s="2">
        <v>3</v>
      </c>
      <c r="G4" s="2">
        <v>18</v>
      </c>
      <c r="H4" s="2">
        <v>16</v>
      </c>
      <c r="I4" s="2">
        <v>2</v>
      </c>
      <c r="J4" s="2">
        <v>19</v>
      </c>
      <c r="K4" s="23" t="str">
        <f t="shared" si="0"/>
        <v>锁三</v>
      </c>
      <c r="L4" s="22">
        <f t="shared" si="1"/>
        <v>19</v>
      </c>
      <c r="M4" s="22"/>
    </row>
    <row r="5" spans="1:13">
      <c r="A5" s="3">
        <v>4</v>
      </c>
      <c r="B5" s="2" t="s">
        <v>126</v>
      </c>
      <c r="C5" s="2">
        <v>12</v>
      </c>
      <c r="D5" s="2">
        <v>5</v>
      </c>
      <c r="E5" s="2">
        <v>3</v>
      </c>
      <c r="F5" s="2">
        <v>4</v>
      </c>
      <c r="G5" s="2">
        <v>19</v>
      </c>
      <c r="H5" s="2">
        <v>15</v>
      </c>
      <c r="I5" s="2">
        <v>4</v>
      </c>
      <c r="J5" s="2">
        <v>18</v>
      </c>
      <c r="K5" s="23" t="str">
        <f t="shared" si="0"/>
        <v/>
      </c>
      <c r="L5" s="22">
        <f t="shared" si="1"/>
        <v>18</v>
      </c>
      <c r="M5" s="22"/>
    </row>
    <row r="6" spans="1:13">
      <c r="A6" s="3">
        <v>5</v>
      </c>
      <c r="B6" s="2" t="s">
        <v>127</v>
      </c>
      <c r="C6" s="2">
        <v>11</v>
      </c>
      <c r="D6" s="2">
        <v>4</v>
      </c>
      <c r="E6" s="2">
        <v>1</v>
      </c>
      <c r="F6" s="2">
        <v>6</v>
      </c>
      <c r="G6" s="2">
        <v>14</v>
      </c>
      <c r="H6" s="2">
        <v>20</v>
      </c>
      <c r="I6" s="2">
        <v>-6</v>
      </c>
      <c r="J6" s="2">
        <v>13</v>
      </c>
      <c r="K6" s="23" t="str">
        <f t="shared" si="0"/>
        <v/>
      </c>
      <c r="L6" s="22">
        <f t="shared" si="1"/>
        <v>16</v>
      </c>
      <c r="M6" s="22"/>
    </row>
    <row r="7" spans="1:13">
      <c r="A7" s="3">
        <v>6</v>
      </c>
      <c r="B7" s="2" t="s">
        <v>128</v>
      </c>
      <c r="C7" s="2">
        <v>10</v>
      </c>
      <c r="D7" s="2">
        <v>2</v>
      </c>
      <c r="E7" s="2">
        <v>2</v>
      </c>
      <c r="F7" s="2">
        <v>6</v>
      </c>
      <c r="G7" s="2">
        <v>9</v>
      </c>
      <c r="H7" s="2">
        <v>15</v>
      </c>
      <c r="I7" s="2">
        <v>-6</v>
      </c>
      <c r="J7" s="2">
        <v>8</v>
      </c>
      <c r="K7" s="23" t="str">
        <f t="shared" si="0"/>
        <v/>
      </c>
      <c r="L7" s="22">
        <f t="shared" si="1"/>
        <v>14</v>
      </c>
      <c r="M7" s="22"/>
    </row>
    <row r="8" spans="1:13">
      <c r="A8" s="3">
        <v>7</v>
      </c>
      <c r="B8" s="2" t="s">
        <v>129</v>
      </c>
      <c r="C8" s="2">
        <v>10</v>
      </c>
      <c r="D8" s="2">
        <v>0</v>
      </c>
      <c r="E8" s="2">
        <v>1</v>
      </c>
      <c r="F8" s="2">
        <v>9</v>
      </c>
      <c r="G8" s="2">
        <v>2</v>
      </c>
      <c r="H8" s="2">
        <v>22</v>
      </c>
      <c r="I8" s="2">
        <v>-20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7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G21" sqref="G21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59</v>
      </c>
    </row>
    <row r="2" spans="1:12">
      <c r="A2" s="3">
        <v>1</v>
      </c>
      <c r="B2" s="2" t="s">
        <v>144</v>
      </c>
      <c r="C2" s="2">
        <v>12</v>
      </c>
      <c r="D2" s="2">
        <v>7</v>
      </c>
      <c r="E2" s="2">
        <v>5</v>
      </c>
      <c r="F2" s="2">
        <v>0</v>
      </c>
      <c r="G2" s="2">
        <v>19</v>
      </c>
      <c r="H2" s="2">
        <v>8</v>
      </c>
      <c r="I2" s="2">
        <v>11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26</v>
      </c>
    </row>
    <row r="3" spans="1:12">
      <c r="A3" s="3">
        <v>2</v>
      </c>
      <c r="B3" s="2" t="s">
        <v>145</v>
      </c>
      <c r="C3" s="2">
        <v>12</v>
      </c>
      <c r="D3" s="2">
        <v>8</v>
      </c>
      <c r="E3" s="2">
        <v>1</v>
      </c>
      <c r="F3" s="2">
        <v>3</v>
      </c>
      <c r="G3" s="2">
        <v>19</v>
      </c>
      <c r="H3" s="2">
        <v>11</v>
      </c>
      <c r="I3" s="2">
        <v>8</v>
      </c>
      <c r="J3" s="2">
        <v>25</v>
      </c>
      <c r="K3" s="23" t="str">
        <f t="shared" si="0"/>
        <v>锁二</v>
      </c>
      <c r="L3" s="22">
        <f t="shared" ref="L3:L8" si="1">((COUNTA(A$2:A$15)-1)*2-C3)*3+J3</f>
        <v>25</v>
      </c>
    </row>
    <row r="4" spans="1:12">
      <c r="A4" s="3">
        <v>3</v>
      </c>
      <c r="B4" s="2" t="s">
        <v>146</v>
      </c>
      <c r="C4" s="2">
        <v>12</v>
      </c>
      <c r="D4" s="2">
        <v>6</v>
      </c>
      <c r="E4" s="2">
        <v>3</v>
      </c>
      <c r="F4" s="2">
        <v>3</v>
      </c>
      <c r="G4" s="2">
        <v>19</v>
      </c>
      <c r="H4" s="2">
        <v>12</v>
      </c>
      <c r="I4" s="2">
        <v>7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>
      <c r="A5" s="3">
        <v>4</v>
      </c>
      <c r="B5" s="2" t="s">
        <v>147</v>
      </c>
      <c r="C5" s="2">
        <v>12</v>
      </c>
      <c r="D5" s="2">
        <v>6</v>
      </c>
      <c r="E5" s="2">
        <v>2</v>
      </c>
      <c r="F5" s="2">
        <v>4</v>
      </c>
      <c r="G5" s="2">
        <v>15</v>
      </c>
      <c r="H5" s="2">
        <v>10</v>
      </c>
      <c r="I5" s="2">
        <v>5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148</v>
      </c>
      <c r="C6" s="2">
        <v>12</v>
      </c>
      <c r="D6" s="2">
        <v>4</v>
      </c>
      <c r="E6" s="2">
        <v>1</v>
      </c>
      <c r="F6" s="2">
        <v>7</v>
      </c>
      <c r="G6" s="2">
        <v>12</v>
      </c>
      <c r="H6" s="2">
        <v>16</v>
      </c>
      <c r="I6" s="2">
        <v>-4</v>
      </c>
      <c r="J6" s="2">
        <v>13</v>
      </c>
      <c r="K6" s="23" t="str">
        <f t="shared" si="0"/>
        <v/>
      </c>
      <c r="L6" s="22">
        <f t="shared" si="1"/>
        <v>13</v>
      </c>
    </row>
    <row r="7" spans="1:12">
      <c r="A7" s="3">
        <v>6</v>
      </c>
      <c r="B7" s="2" t="s">
        <v>149</v>
      </c>
      <c r="C7" s="2">
        <v>12</v>
      </c>
      <c r="D7" s="2">
        <v>2</v>
      </c>
      <c r="E7" s="2">
        <v>2</v>
      </c>
      <c r="F7" s="2">
        <v>8</v>
      </c>
      <c r="G7" s="2">
        <v>7</v>
      </c>
      <c r="H7" s="2">
        <v>20</v>
      </c>
      <c r="I7" s="2">
        <v>-13</v>
      </c>
      <c r="J7" s="2">
        <v>8</v>
      </c>
      <c r="K7" s="23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2">
        <f t="shared" si="1"/>
        <v>8</v>
      </c>
    </row>
    <row r="8" spans="1:12">
      <c r="A8" s="3">
        <v>7</v>
      </c>
      <c r="B8" s="2" t="s">
        <v>150</v>
      </c>
      <c r="C8" s="2">
        <v>12</v>
      </c>
      <c r="D8" s="2">
        <v>1</v>
      </c>
      <c r="E8" s="2">
        <v>2</v>
      </c>
      <c r="F8" s="2">
        <v>9</v>
      </c>
      <c r="G8" s="2">
        <v>6</v>
      </c>
      <c r="H8" s="2">
        <v>20</v>
      </c>
      <c r="I8" s="2">
        <v>-14</v>
      </c>
      <c r="J8" s="10">
        <v>5</v>
      </c>
      <c r="K8" s="23" t="str">
        <f t="shared" si="0"/>
        <v>降决</v>
      </c>
      <c r="L8" s="22">
        <f t="shared" si="1"/>
        <v>5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M15" sqref="M15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59</v>
      </c>
    </row>
    <row r="2" spans="1:12">
      <c r="A2" s="3">
        <v>1</v>
      </c>
      <c r="B2" s="2" t="s">
        <v>137</v>
      </c>
      <c r="C2" s="2">
        <v>12</v>
      </c>
      <c r="D2" s="2">
        <v>8</v>
      </c>
      <c r="E2" s="2">
        <v>3</v>
      </c>
      <c r="F2" s="2">
        <v>1</v>
      </c>
      <c r="G2" s="2">
        <v>27</v>
      </c>
      <c r="H2" s="2">
        <v>9</v>
      </c>
      <c r="I2" s="2">
        <v>18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138</v>
      </c>
      <c r="C3" s="2">
        <v>12</v>
      </c>
      <c r="D3" s="2">
        <v>6</v>
      </c>
      <c r="E3" s="2">
        <v>3</v>
      </c>
      <c r="F3" s="2">
        <v>3</v>
      </c>
      <c r="G3" s="2">
        <v>15</v>
      </c>
      <c r="H3" s="2">
        <v>10</v>
      </c>
      <c r="I3" s="2">
        <v>5</v>
      </c>
      <c r="J3" s="2">
        <v>21</v>
      </c>
      <c r="K3" s="23" t="str">
        <f t="shared" si="0"/>
        <v>锁二</v>
      </c>
      <c r="L3" s="22">
        <f t="shared" ref="L3:L8" si="1">((COUNTA(A$2:A$15)-1)*2-C3)*3+J3</f>
        <v>21</v>
      </c>
    </row>
    <row r="4" spans="1:12">
      <c r="A4" s="3">
        <v>3</v>
      </c>
      <c r="B4" s="2" t="s">
        <v>139</v>
      </c>
      <c r="C4" s="2">
        <v>12</v>
      </c>
      <c r="D4" s="2">
        <v>5</v>
      </c>
      <c r="E4" s="2">
        <v>4</v>
      </c>
      <c r="F4" s="2">
        <v>3</v>
      </c>
      <c r="G4" s="2">
        <v>16</v>
      </c>
      <c r="H4" s="2">
        <v>11</v>
      </c>
      <c r="I4" s="2">
        <v>5</v>
      </c>
      <c r="J4" s="2">
        <v>19</v>
      </c>
      <c r="K4" s="23" t="str">
        <f t="shared" si="0"/>
        <v>锁三</v>
      </c>
      <c r="L4" s="22">
        <f t="shared" si="1"/>
        <v>19</v>
      </c>
    </row>
    <row r="5" spans="1:12">
      <c r="A5" s="3">
        <v>4</v>
      </c>
      <c r="B5" s="2" t="s">
        <v>140</v>
      </c>
      <c r="C5" s="2">
        <v>12</v>
      </c>
      <c r="D5" s="2">
        <v>4</v>
      </c>
      <c r="E5" s="2">
        <v>4</v>
      </c>
      <c r="F5" s="2">
        <v>4</v>
      </c>
      <c r="G5" s="2">
        <v>15</v>
      </c>
      <c r="H5" s="2">
        <v>13</v>
      </c>
      <c r="I5" s="2">
        <v>2</v>
      </c>
      <c r="J5" s="2">
        <v>16</v>
      </c>
      <c r="K5" s="23" t="str">
        <f t="shared" si="0"/>
        <v/>
      </c>
      <c r="L5" s="22">
        <f t="shared" si="1"/>
        <v>16</v>
      </c>
    </row>
    <row r="6" spans="1:12">
      <c r="A6" s="3">
        <v>5</v>
      </c>
      <c r="B6" s="2" t="s">
        <v>141</v>
      </c>
      <c r="C6" s="2">
        <v>12</v>
      </c>
      <c r="D6" s="2">
        <v>4</v>
      </c>
      <c r="E6" s="2">
        <v>3</v>
      </c>
      <c r="F6" s="2">
        <v>5</v>
      </c>
      <c r="G6" s="2">
        <v>14</v>
      </c>
      <c r="H6" s="2">
        <v>13</v>
      </c>
      <c r="I6" s="2">
        <v>1</v>
      </c>
      <c r="J6" s="2">
        <v>15</v>
      </c>
      <c r="K6" s="23" t="str">
        <f t="shared" si="0"/>
        <v/>
      </c>
      <c r="L6" s="22">
        <f t="shared" si="1"/>
        <v>15</v>
      </c>
    </row>
    <row r="7" spans="1:12">
      <c r="A7" s="3">
        <v>6</v>
      </c>
      <c r="B7" s="2" t="s">
        <v>142</v>
      </c>
      <c r="C7" s="2">
        <v>12</v>
      </c>
      <c r="D7" s="2">
        <v>2</v>
      </c>
      <c r="E7" s="2">
        <v>3</v>
      </c>
      <c r="F7" s="2">
        <v>7</v>
      </c>
      <c r="G7" s="2">
        <v>11</v>
      </c>
      <c r="H7" s="2">
        <v>28</v>
      </c>
      <c r="I7" s="2">
        <v>-17</v>
      </c>
      <c r="J7" s="2">
        <v>9</v>
      </c>
      <c r="K7" s="23" t="str">
        <f t="shared" si="0"/>
        <v/>
      </c>
      <c r="L7" s="22">
        <f t="shared" si="1"/>
        <v>9</v>
      </c>
    </row>
    <row r="8" spans="1:12">
      <c r="A8" s="3">
        <v>7</v>
      </c>
      <c r="B8" s="2" t="s">
        <v>143</v>
      </c>
      <c r="C8" s="2">
        <v>12</v>
      </c>
      <c r="D8" s="2">
        <v>3</v>
      </c>
      <c r="E8" s="2">
        <v>0</v>
      </c>
      <c r="F8" s="2">
        <v>9</v>
      </c>
      <c r="G8" s="2">
        <v>12</v>
      </c>
      <c r="H8" s="2">
        <v>26</v>
      </c>
      <c r="I8" s="2">
        <v>-14</v>
      </c>
      <c r="J8" s="10">
        <v>9</v>
      </c>
      <c r="K8" s="23" t="str">
        <f t="shared" si="0"/>
        <v/>
      </c>
      <c r="L8" s="22">
        <f t="shared" si="1"/>
        <v>9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K17" sqref="K17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112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113</v>
      </c>
      <c r="I1" s="48" t="s">
        <v>114</v>
      </c>
      <c r="J1" s="48" t="s">
        <v>115</v>
      </c>
      <c r="K1" s="24">
        <v>1</v>
      </c>
      <c r="L1" s="21" t="s">
        <v>59</v>
      </c>
    </row>
    <row r="2" spans="1:12">
      <c r="A2" s="3">
        <v>1</v>
      </c>
      <c r="B2" s="2" t="s">
        <v>130</v>
      </c>
      <c r="C2" s="2">
        <v>12</v>
      </c>
      <c r="D2" s="2">
        <v>8</v>
      </c>
      <c r="E2" s="2">
        <v>1</v>
      </c>
      <c r="F2" s="2">
        <v>3</v>
      </c>
      <c r="G2" s="2">
        <v>25</v>
      </c>
      <c r="H2" s="2">
        <v>9</v>
      </c>
      <c r="I2" s="2">
        <v>16</v>
      </c>
      <c r="J2" s="9">
        <v>25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25</v>
      </c>
    </row>
    <row r="3" spans="1:12">
      <c r="A3" s="3">
        <v>2</v>
      </c>
      <c r="B3" s="2" t="s">
        <v>131</v>
      </c>
      <c r="C3" s="2">
        <v>12</v>
      </c>
      <c r="D3" s="2">
        <v>7</v>
      </c>
      <c r="E3" s="2">
        <v>3</v>
      </c>
      <c r="F3" s="2">
        <v>2</v>
      </c>
      <c r="G3" s="2">
        <v>24</v>
      </c>
      <c r="H3" s="2">
        <v>12</v>
      </c>
      <c r="I3" s="2">
        <v>12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</row>
    <row r="4" spans="1:12">
      <c r="A4" s="3">
        <v>3</v>
      </c>
      <c r="B4" s="2" t="s">
        <v>132</v>
      </c>
      <c r="C4" s="2">
        <v>12</v>
      </c>
      <c r="D4" s="2">
        <v>6</v>
      </c>
      <c r="E4" s="2">
        <v>3</v>
      </c>
      <c r="F4" s="2">
        <v>3</v>
      </c>
      <c r="G4" s="2">
        <v>21</v>
      </c>
      <c r="H4" s="2">
        <v>13</v>
      </c>
      <c r="I4" s="2">
        <v>8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>
      <c r="A5" s="3">
        <v>4</v>
      </c>
      <c r="B5" s="2" t="s">
        <v>133</v>
      </c>
      <c r="C5" s="2">
        <v>12</v>
      </c>
      <c r="D5" s="2">
        <v>5</v>
      </c>
      <c r="E5" s="2">
        <v>3</v>
      </c>
      <c r="F5" s="2">
        <v>4</v>
      </c>
      <c r="G5" s="2">
        <v>13</v>
      </c>
      <c r="H5" s="2">
        <v>12</v>
      </c>
      <c r="I5" s="2">
        <v>1</v>
      </c>
      <c r="J5" s="2">
        <v>18</v>
      </c>
      <c r="K5" s="23" t="str">
        <f t="shared" si="0"/>
        <v/>
      </c>
      <c r="L5" s="22">
        <f t="shared" si="1"/>
        <v>18</v>
      </c>
    </row>
    <row r="6" spans="1:12">
      <c r="A6" s="3">
        <v>5</v>
      </c>
      <c r="B6" s="2" t="s">
        <v>134</v>
      </c>
      <c r="C6" s="2">
        <v>12</v>
      </c>
      <c r="D6" s="2">
        <v>4</v>
      </c>
      <c r="E6" s="2">
        <v>2</v>
      </c>
      <c r="F6" s="2">
        <v>6</v>
      </c>
      <c r="G6" s="2">
        <v>14</v>
      </c>
      <c r="H6" s="2">
        <v>18</v>
      </c>
      <c r="I6" s="2">
        <v>-4</v>
      </c>
      <c r="J6" s="2">
        <v>14</v>
      </c>
      <c r="K6" s="23" t="str">
        <f t="shared" si="0"/>
        <v/>
      </c>
      <c r="L6" s="22">
        <f t="shared" si="1"/>
        <v>14</v>
      </c>
    </row>
    <row r="7" spans="1:12">
      <c r="A7" s="3">
        <v>6</v>
      </c>
      <c r="B7" s="2" t="s">
        <v>135</v>
      </c>
      <c r="C7" s="2">
        <v>10</v>
      </c>
      <c r="D7" s="2">
        <v>2</v>
      </c>
      <c r="E7" s="2">
        <v>1</v>
      </c>
      <c r="F7" s="2">
        <v>7</v>
      </c>
      <c r="G7" s="2">
        <v>3</v>
      </c>
      <c r="H7" s="2">
        <v>19</v>
      </c>
      <c r="I7" s="2">
        <v>-16</v>
      </c>
      <c r="J7" s="2">
        <v>7</v>
      </c>
      <c r="K7" s="23" t="str">
        <f t="shared" si="0"/>
        <v/>
      </c>
      <c r="L7" s="22">
        <f t="shared" si="1"/>
        <v>13</v>
      </c>
    </row>
    <row r="8" spans="1:12">
      <c r="A8" s="3">
        <v>7</v>
      </c>
      <c r="B8" s="2" t="s">
        <v>136</v>
      </c>
      <c r="C8" s="2">
        <v>10</v>
      </c>
      <c r="D8" s="2">
        <v>1</v>
      </c>
      <c r="E8" s="2">
        <v>1</v>
      </c>
      <c r="F8" s="2">
        <v>8</v>
      </c>
      <c r="G8" s="2">
        <v>9</v>
      </c>
      <c r="H8" s="2">
        <v>26</v>
      </c>
      <c r="I8" s="2">
        <v>-17</v>
      </c>
      <c r="J8" s="10">
        <v>4</v>
      </c>
      <c r="K8" s="23" t="str">
        <f t="shared" si="0"/>
        <v/>
      </c>
      <c r="L8" s="22">
        <f t="shared" si="1"/>
        <v>10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K16" sqref="K16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63</v>
      </c>
      <c r="C1" s="42" t="s">
        <v>64</v>
      </c>
      <c r="D1" s="42" t="s">
        <v>65</v>
      </c>
      <c r="E1" s="42" t="s">
        <v>20</v>
      </c>
      <c r="F1" s="42" t="s">
        <v>66</v>
      </c>
      <c r="G1" s="42" t="s">
        <v>67</v>
      </c>
      <c r="H1" s="42" t="s">
        <v>22</v>
      </c>
      <c r="I1" s="42" t="s">
        <v>68</v>
      </c>
      <c r="J1" s="42" t="s">
        <v>69</v>
      </c>
      <c r="K1" s="24">
        <v>0</v>
      </c>
      <c r="L1" s="21" t="s">
        <v>59</v>
      </c>
    </row>
    <row r="2" spans="1:12">
      <c r="A2" s="3">
        <v>1</v>
      </c>
      <c r="B2" s="2" t="s">
        <v>167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((COUNTA(A$2:A$15)-1-1)*2-C2)*3+J2</f>
        <v>60</v>
      </c>
    </row>
    <row r="3" spans="1:12">
      <c r="A3" s="3">
        <v>2</v>
      </c>
      <c r="B3" s="2" t="s">
        <v>168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9">
        <v>0</v>
      </c>
      <c r="K3" s="23" t="str">
        <f t="shared" si="0"/>
        <v/>
      </c>
      <c r="L3" s="22">
        <f t="shared" ref="L3:L13" si="1">((COUNTA(A$2:A$15)-1-1)*2-C3)*3+J3</f>
        <v>60</v>
      </c>
    </row>
    <row r="4" spans="1:12">
      <c r="A4" s="3">
        <v>3</v>
      </c>
      <c r="B4" s="2" t="s">
        <v>101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9">
        <v>0</v>
      </c>
      <c r="K4" s="23" t="str">
        <f t="shared" si="0"/>
        <v/>
      </c>
      <c r="L4" s="22">
        <f t="shared" si="1"/>
        <v>60</v>
      </c>
    </row>
    <row r="5" spans="1:12">
      <c r="A5" s="3">
        <v>4</v>
      </c>
      <c r="B5" s="2" t="s">
        <v>131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9">
        <v>0</v>
      </c>
      <c r="K5" s="23" t="str">
        <f t="shared" si="0"/>
        <v/>
      </c>
      <c r="L5" s="22">
        <f t="shared" si="1"/>
        <v>60</v>
      </c>
    </row>
    <row r="6" spans="1:12">
      <c r="A6" s="3">
        <v>5</v>
      </c>
      <c r="B6" s="2" t="s">
        <v>103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9">
        <v>0</v>
      </c>
      <c r="K6" s="23" t="str">
        <f t="shared" si="0"/>
        <v/>
      </c>
      <c r="L6" s="22">
        <f t="shared" si="1"/>
        <v>60</v>
      </c>
    </row>
    <row r="7" spans="1:12">
      <c r="A7" s="3">
        <v>6</v>
      </c>
      <c r="B7" s="2" t="s">
        <v>77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9">
        <v>0</v>
      </c>
      <c r="K7" s="23" t="str">
        <f t="shared" si="0"/>
        <v/>
      </c>
      <c r="L7" s="22">
        <f t="shared" si="1"/>
        <v>60</v>
      </c>
    </row>
    <row r="8" spans="1:12">
      <c r="A8" s="3">
        <v>7</v>
      </c>
      <c r="B8" s="2" t="s">
        <v>124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9">
        <v>0</v>
      </c>
      <c r="K8" s="23" t="str">
        <f t="shared" si="0"/>
        <v/>
      </c>
      <c r="L8" s="22">
        <f t="shared" si="1"/>
        <v>60</v>
      </c>
    </row>
    <row r="9" spans="1:12">
      <c r="A9" s="3">
        <v>8</v>
      </c>
      <c r="B9" s="2" t="s">
        <v>169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9">
        <v>0</v>
      </c>
      <c r="L9" s="22">
        <f t="shared" si="1"/>
        <v>60</v>
      </c>
    </row>
    <row r="10" spans="1:12">
      <c r="A10" s="3">
        <v>9</v>
      </c>
      <c r="B10" s="2" t="s">
        <v>102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9">
        <v>0</v>
      </c>
      <c r="L10" s="22">
        <f t="shared" si="1"/>
        <v>60</v>
      </c>
    </row>
    <row r="11" spans="1:12">
      <c r="A11" s="3">
        <v>10</v>
      </c>
      <c r="B11" s="2" t="s">
        <v>130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9">
        <v>0</v>
      </c>
      <c r="L11" s="22">
        <f t="shared" si="1"/>
        <v>60</v>
      </c>
    </row>
    <row r="12" spans="1:12">
      <c r="A12" s="3">
        <v>11</v>
      </c>
      <c r="B12" s="2" t="s">
        <v>144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9">
        <v>0</v>
      </c>
      <c r="L12" s="22">
        <f t="shared" si="1"/>
        <v>60</v>
      </c>
    </row>
    <row r="13" spans="1:12">
      <c r="A13" s="3">
        <v>12</v>
      </c>
      <c r="B13" s="2" t="s">
        <v>96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9">
        <v>0</v>
      </c>
      <c r="L13" s="22">
        <f t="shared" si="1"/>
        <v>60</v>
      </c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12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31" workbookViewId="0">
      <selection activeCell="E42" sqref="E42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55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91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89</v>
      </c>
      <c r="B3" t="s">
        <v>27</v>
      </c>
      <c r="C3" s="50">
        <v>0</v>
      </c>
      <c r="D3" s="50">
        <v>2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95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C7" s="50">
        <v>1</v>
      </c>
      <c r="D7" s="50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91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89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95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91</v>
      </c>
      <c r="B14" t="s">
        <v>95</v>
      </c>
      <c r="C14" s="50">
        <v>0</v>
      </c>
      <c r="D14" s="50">
        <v>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29</v>
      </c>
      <c r="B18" t="s">
        <v>95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91</v>
      </c>
      <c r="B20" t="s">
        <v>89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95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89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91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95</v>
      </c>
      <c r="B28" t="s">
        <v>89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91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C30" s="50">
        <v>0</v>
      </c>
      <c r="D30" s="5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89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95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C35" s="50">
        <v>1</v>
      </c>
      <c r="D35" s="50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91</v>
      </c>
      <c r="B37" t="s">
        <v>28</v>
      </c>
      <c r="C37" s="50">
        <v>1</v>
      </c>
      <c r="D37" s="50">
        <v>3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27</v>
      </c>
      <c r="B38" t="s">
        <v>89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95</v>
      </c>
      <c r="C40" s="50">
        <v>4</v>
      </c>
      <c r="D40" s="50">
        <v>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C42" s="50">
        <v>2</v>
      </c>
      <c r="D42" s="50">
        <v>6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29</v>
      </c>
      <c r="B43" t="s">
        <v>91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89</v>
      </c>
      <c r="C44" s="50">
        <v>2</v>
      </c>
      <c r="D44" s="50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95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C47" s="50">
        <v>2</v>
      </c>
      <c r="D47" s="50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13</v>
      </c>
      <c r="B48" t="s">
        <v>27</v>
      </c>
      <c r="C48" s="50">
        <v>2</v>
      </c>
      <c r="D48" s="50">
        <v>0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95</v>
      </c>
      <c r="B49" t="s">
        <v>91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89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95</v>
      </c>
      <c r="B53" t="s">
        <v>29</v>
      </c>
      <c r="C53" s="50">
        <v>3</v>
      </c>
      <c r="D53" s="50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89</v>
      </c>
      <c r="B55" t="s">
        <v>91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95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89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91</v>
      </c>
      <c r="B60" t="s">
        <v>27</v>
      </c>
      <c r="C60" s="50">
        <v>3</v>
      </c>
      <c r="D60" s="50">
        <v>0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89</v>
      </c>
      <c r="B63" t="s">
        <v>95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91</v>
      </c>
      <c r="B64" t="s">
        <v>13</v>
      </c>
      <c r="C64" s="50">
        <v>1</v>
      </c>
      <c r="D64" s="50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27</v>
      </c>
      <c r="B65" t="s">
        <v>29</v>
      </c>
      <c r="C65" s="50">
        <v>0</v>
      </c>
      <c r="D65" s="50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89</v>
      </c>
      <c r="B67" t="s">
        <v>28</v>
      </c>
      <c r="C67" s="50">
        <v>0</v>
      </c>
      <c r="D67" s="50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91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95</v>
      </c>
      <c r="C69" s="50">
        <v>2</v>
      </c>
      <c r="D69" s="50">
        <v>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29</v>
      </c>
      <c r="B70" t="s">
        <v>13</v>
      </c>
      <c r="C70" s="50">
        <v>1</v>
      </c>
      <c r="D70" s="5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46" workbookViewId="0">
      <selection activeCell="F69" sqref="F69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83</v>
      </c>
      <c r="B2" t="s">
        <v>37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85</v>
      </c>
      <c r="B3" t="s">
        <v>80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97</v>
      </c>
      <c r="C4">
        <v>0</v>
      </c>
      <c r="D4">
        <v>2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98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83</v>
      </c>
      <c r="B7" t="s">
        <v>80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97</v>
      </c>
      <c r="C8">
        <v>1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85</v>
      </c>
      <c r="B9" t="s">
        <v>98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83</v>
      </c>
      <c r="B12" t="s">
        <v>97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80</v>
      </c>
      <c r="B13" t="s">
        <v>98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85</v>
      </c>
      <c r="B15" t="s">
        <v>121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83</v>
      </c>
      <c r="B17" t="s">
        <v>98</v>
      </c>
      <c r="C17">
        <v>2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97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80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85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83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98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97</v>
      </c>
      <c r="B24" t="s">
        <v>85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80</v>
      </c>
      <c r="B25" t="s">
        <v>37</v>
      </c>
      <c r="C25">
        <v>3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83</v>
      </c>
      <c r="B27" s="1" t="s">
        <v>14</v>
      </c>
      <c r="C27">
        <v>3</v>
      </c>
      <c r="D27">
        <v>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85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98</v>
      </c>
      <c r="B29" t="s">
        <v>37</v>
      </c>
      <c r="C29">
        <v>4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97</v>
      </c>
      <c r="B30" t="s">
        <v>80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83</v>
      </c>
      <c r="B32" t="s">
        <v>85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14</v>
      </c>
      <c r="B33" t="s">
        <v>37</v>
      </c>
      <c r="C33">
        <v>1</v>
      </c>
      <c r="D33">
        <v>0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80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98</v>
      </c>
      <c r="B35" t="s">
        <v>97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83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80</v>
      </c>
      <c r="B38" t="s">
        <v>85</v>
      </c>
      <c r="C38">
        <v>1</v>
      </c>
      <c r="D38">
        <v>3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97</v>
      </c>
      <c r="B39" t="s">
        <v>14</v>
      </c>
      <c r="C39">
        <v>1</v>
      </c>
      <c r="D39">
        <v>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98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80</v>
      </c>
      <c r="B42" t="s">
        <v>83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97</v>
      </c>
      <c r="B43" t="s">
        <v>37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98</v>
      </c>
      <c r="B44" t="s">
        <v>85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97</v>
      </c>
      <c r="B47" t="s">
        <v>83</v>
      </c>
      <c r="C47">
        <v>2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98</v>
      </c>
      <c r="B48" t="s">
        <v>80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85</v>
      </c>
      <c r="C50">
        <v>0</v>
      </c>
      <c r="D50">
        <v>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98</v>
      </c>
      <c r="B52" t="s">
        <v>83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97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80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85</v>
      </c>
      <c r="B55" t="s">
        <v>37</v>
      </c>
      <c r="C55">
        <v>2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83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98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85</v>
      </c>
      <c r="B59" t="s">
        <v>97</v>
      </c>
      <c r="C59">
        <v>2</v>
      </c>
      <c r="D59">
        <v>2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37</v>
      </c>
      <c r="B60" t="s">
        <v>80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83</v>
      </c>
      <c r="C62">
        <v>1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85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98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80</v>
      </c>
      <c r="B65" t="s">
        <v>97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85</v>
      </c>
      <c r="B67" t="s">
        <v>83</v>
      </c>
      <c r="C67">
        <v>2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37</v>
      </c>
      <c r="B68" t="s">
        <v>14</v>
      </c>
      <c r="C68">
        <v>1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80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97</v>
      </c>
      <c r="B70" t="s">
        <v>98</v>
      </c>
      <c r="C70">
        <v>3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37" workbookViewId="0">
      <selection activeCell="E50" sqref="E50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39</v>
      </c>
      <c r="B2" t="s">
        <v>99</v>
      </c>
      <c r="C2">
        <v>1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38</v>
      </c>
      <c r="B3" t="s">
        <v>40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76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39</v>
      </c>
      <c r="B7" s="51" t="s">
        <v>40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99</v>
      </c>
      <c r="B8" t="s">
        <v>76</v>
      </c>
      <c r="C8">
        <v>0</v>
      </c>
      <c r="D8">
        <v>5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38</v>
      </c>
      <c r="B9" t="s">
        <v>100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39</v>
      </c>
      <c r="B12" t="s">
        <v>76</v>
      </c>
      <c r="C12">
        <v>2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40</v>
      </c>
      <c r="B13" t="s">
        <v>100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99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38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39</v>
      </c>
      <c r="B17" t="s">
        <v>100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76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40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99</v>
      </c>
      <c r="B20" t="s">
        <v>38</v>
      </c>
      <c r="C20">
        <v>1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39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76</v>
      </c>
      <c r="B24" t="s">
        <v>38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40</v>
      </c>
      <c r="B25" t="s">
        <v>99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39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38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99</v>
      </c>
      <c r="C29">
        <v>3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76</v>
      </c>
      <c r="B30" t="s">
        <v>40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39</v>
      </c>
      <c r="B32" t="s">
        <v>38</v>
      </c>
      <c r="C32">
        <v>0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12</v>
      </c>
      <c r="B33" t="s">
        <v>99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76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99</v>
      </c>
      <c r="B37" t="s">
        <v>39</v>
      </c>
      <c r="C37">
        <v>1</v>
      </c>
      <c r="D37">
        <v>4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40</v>
      </c>
      <c r="B38" t="s">
        <v>38</v>
      </c>
      <c r="C38">
        <v>2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76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40</v>
      </c>
      <c r="B42" t="s">
        <v>39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76</v>
      </c>
      <c r="B43" t="s">
        <v>99</v>
      </c>
      <c r="C43">
        <v>2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100</v>
      </c>
      <c r="B44" t="s">
        <v>38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76</v>
      </c>
      <c r="B47" t="s">
        <v>39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100</v>
      </c>
      <c r="B48" t="s">
        <v>40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99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38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39</v>
      </c>
      <c r="C52">
        <v>1</v>
      </c>
      <c r="D52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76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40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38</v>
      </c>
      <c r="B55" t="s">
        <v>99</v>
      </c>
      <c r="C55">
        <v>3</v>
      </c>
      <c r="D55">
        <v>0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39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38</v>
      </c>
      <c r="B59" t="s">
        <v>76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99</v>
      </c>
      <c r="B60" t="s">
        <v>40</v>
      </c>
      <c r="C60">
        <v>0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39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38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99</v>
      </c>
      <c r="B64" t="s">
        <v>100</v>
      </c>
      <c r="C64">
        <v>1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40</v>
      </c>
      <c r="B65" t="s">
        <v>76</v>
      </c>
      <c r="C65">
        <v>0</v>
      </c>
      <c r="D65">
        <v>1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38</v>
      </c>
      <c r="B67" t="s">
        <v>39</v>
      </c>
      <c r="C67">
        <v>1</v>
      </c>
      <c r="D67">
        <v>1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99</v>
      </c>
      <c r="B68" t="s">
        <v>12</v>
      </c>
      <c r="C68">
        <v>2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40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76</v>
      </c>
      <c r="B70" t="s">
        <v>100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topLeftCell="A43" workbookViewId="0">
      <selection activeCell="D56" sqref="D56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62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116</v>
      </c>
      <c r="B2" t="s">
        <v>117</v>
      </c>
      <c r="C2">
        <v>1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70</v>
      </c>
      <c r="B3" t="s">
        <v>108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118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119</v>
      </c>
      <c r="B5" t="s">
        <v>120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116</v>
      </c>
      <c r="B7" t="s">
        <v>108</v>
      </c>
      <c r="C7">
        <v>4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117</v>
      </c>
      <c r="B8" t="s">
        <v>118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70</v>
      </c>
      <c r="B9" t="s">
        <v>120</v>
      </c>
      <c r="C9">
        <v>0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119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116</v>
      </c>
      <c r="B12" t="s">
        <v>118</v>
      </c>
      <c r="C12">
        <v>5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108</v>
      </c>
      <c r="B13" t="s">
        <v>120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117</v>
      </c>
      <c r="B14" t="s">
        <v>119</v>
      </c>
      <c r="C14">
        <v>1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70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116</v>
      </c>
      <c r="B17" t="s">
        <v>120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118</v>
      </c>
      <c r="B18" t="s">
        <v>119</v>
      </c>
      <c r="C18">
        <v>0</v>
      </c>
      <c r="D18">
        <v>1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108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117</v>
      </c>
      <c r="B20" t="s">
        <v>70</v>
      </c>
      <c r="C20">
        <v>3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116</v>
      </c>
      <c r="B22" t="s">
        <v>119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120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118</v>
      </c>
      <c r="B24" t="s">
        <v>70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108</v>
      </c>
      <c r="B25" t="s">
        <v>117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116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119</v>
      </c>
      <c r="B28" t="s">
        <v>70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120</v>
      </c>
      <c r="B29" t="s">
        <v>117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118</v>
      </c>
      <c r="B30" t="s">
        <v>108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116</v>
      </c>
      <c r="B32" t="s">
        <v>70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117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119</v>
      </c>
      <c r="B34" t="s">
        <v>108</v>
      </c>
      <c r="C34">
        <v>3</v>
      </c>
      <c r="D34">
        <v>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120</v>
      </c>
      <c r="B35" t="s">
        <v>118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117</v>
      </c>
      <c r="B37" t="s">
        <v>116</v>
      </c>
      <c r="C37">
        <v>1</v>
      </c>
      <c r="D37">
        <v>4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108</v>
      </c>
      <c r="B38" t="s">
        <v>70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118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120</v>
      </c>
      <c r="B40" t="s">
        <v>119</v>
      </c>
      <c r="C40">
        <v>1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108</v>
      </c>
      <c r="B42" t="s">
        <v>116</v>
      </c>
      <c r="C42">
        <v>0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118</v>
      </c>
      <c r="B43" t="s">
        <v>117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120</v>
      </c>
      <c r="B44" t="s">
        <v>70</v>
      </c>
      <c r="C44">
        <v>2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119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118</v>
      </c>
      <c r="B47" t="s">
        <v>116</v>
      </c>
      <c r="C47">
        <v>1</v>
      </c>
      <c r="D47">
        <v>0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120</v>
      </c>
      <c r="B48" t="s">
        <v>108</v>
      </c>
      <c r="C48">
        <v>4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119</v>
      </c>
      <c r="B49" t="s">
        <v>117</v>
      </c>
      <c r="C49">
        <v>4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70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120</v>
      </c>
      <c r="B52" t="s">
        <v>116</v>
      </c>
      <c r="C52">
        <v>2</v>
      </c>
      <c r="D52">
        <v>3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119</v>
      </c>
      <c r="B53" t="s">
        <v>118</v>
      </c>
      <c r="C53">
        <v>1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108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70</v>
      </c>
      <c r="B55" t="s">
        <v>117</v>
      </c>
      <c r="C55">
        <v>0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119</v>
      </c>
      <c r="B57" t="s">
        <v>116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120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70</v>
      </c>
      <c r="B59" t="s">
        <v>118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117</v>
      </c>
      <c r="B60" t="s">
        <v>108</v>
      </c>
      <c r="C60">
        <v>1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116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70</v>
      </c>
      <c r="B63" t="s">
        <v>119</v>
      </c>
      <c r="C63">
        <v>0</v>
      </c>
      <c r="D63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117</v>
      </c>
      <c r="B64" t="s">
        <v>120</v>
      </c>
      <c r="C64">
        <v>3</v>
      </c>
      <c r="D64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108</v>
      </c>
      <c r="B65" t="s">
        <v>118</v>
      </c>
      <c r="C65">
        <v>1</v>
      </c>
      <c r="D65">
        <v>4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70</v>
      </c>
      <c r="B67" t="s">
        <v>116</v>
      </c>
      <c r="C67">
        <v>0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117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108</v>
      </c>
      <c r="B69" t="s">
        <v>119</v>
      </c>
      <c r="C69">
        <v>2</v>
      </c>
      <c r="D69">
        <v>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118</v>
      </c>
      <c r="B70" t="s">
        <v>120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154"/>
  <sheetViews>
    <sheetView workbookViewId="0">
      <selection activeCell="G19" sqref="G19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166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157</v>
      </c>
      <c r="F2" s="35" t="str">
        <f ca="1">IF(OR(OR($A2="",$B2=""),AND($C2&lt;&gt;"",$D2&lt;&gt;"")),"",VLOOKUP(A2,IF({1,0},INDIRECT("达修波得!$"&amp;$E$1&amp;"$2:$"&amp;$E$1&amp;"$15"),达修波得!$A$2:$A$15),2,FALSE))</f>
        <v>黑</v>
      </c>
      <c r="G2" s="35" t="str">
        <f ca="1">IF(OR(OR($A2="",$B2=""),AND($C2&lt;&gt;"",$D2&lt;&gt;"")),"",VLOOKUP(B2,IF({1,0},INDIRECT("达修波得!$"&amp;$E$1&amp;"$2:$"&amp;$E$1&amp;"$15"),达修波得!$A$2:$A$15),2,FALSE))</f>
        <v>宇</v>
      </c>
      <c r="H2" s="35" t="str">
        <f t="shared" ref="H2:H65" ca="1" si="0">F2&amp;G2</f>
        <v>黑宇</v>
      </c>
    </row>
    <row r="3" spans="1:8">
      <c r="A3" t="s">
        <v>61</v>
      </c>
      <c r="B3" t="s">
        <v>119</v>
      </c>
      <c r="F3" s="35" t="str">
        <f ca="1">IF(OR(OR($A3="",$B3=""),AND($C3&lt;&gt;"",$D3&lt;&gt;"")),"",VLOOKUP(A3,IF({1,0},INDIRECT("达修波得!$"&amp;$E$1&amp;"$2:$"&amp;$E$1&amp;"$15"),达修波得!$A$2:$A$15),2,FALSE))</f>
        <v>爷</v>
      </c>
      <c r="G3" s="35" t="str">
        <f ca="1">IF(OR(OR($A3="",$B3=""),AND($C3&lt;&gt;"",$D3&lt;&gt;"")),"",VLOOKUP(B3,IF({1,0},INDIRECT("达修波得!$"&amp;$E$1&amp;"$2:$"&amp;$E$1&amp;"$15"),达修波得!$A$2:$A$15),2,FALSE))</f>
        <v>二</v>
      </c>
      <c r="H3" s="35" t="str">
        <f t="shared" ref="H3:H66" ca="1" si="1">F3&amp;G3</f>
        <v>爷二</v>
      </c>
    </row>
    <row r="4" spans="1:8">
      <c r="A4" t="s">
        <v>40</v>
      </c>
      <c r="B4" t="s">
        <v>76</v>
      </c>
      <c r="F4" s="35" t="str">
        <f ca="1">IF(OR(OR($A4="",$B4=""),AND($C4&lt;&gt;"",$D4&lt;&gt;"")),"",VLOOKUP(A4,IF({1,0},INDIRECT("达修波得!$"&amp;$E$1&amp;"$2:$"&amp;$E$1&amp;"$15"),达修波得!$A$2:$A$15),2,FALSE))</f>
        <v>二</v>
      </c>
      <c r="G4" s="35" t="str">
        <f ca="1">IF(OR(OR($A4="",$B4=""),AND($C4&lt;&gt;"",$D4&lt;&gt;"")),"",VLOOKUP(B4,IF({1,0},INDIRECT("达修波得!$"&amp;$E$1&amp;"$2:$"&amp;$E$1&amp;"$15"),达修波得!$A$2:$A$15),2,FALSE))</f>
        <v>磊</v>
      </c>
      <c r="H4" s="35" t="str">
        <f t="shared" ca="1" si="1"/>
        <v>二磊</v>
      </c>
    </row>
    <row r="5" spans="1:8">
      <c r="A5" t="s">
        <v>29</v>
      </c>
      <c r="B5" t="s">
        <v>155</v>
      </c>
      <c r="F5" s="35" t="str">
        <f ca="1">IF(OR(OR($A5="",$B5=""),AND($C5&lt;&gt;"",$D5&lt;&gt;"")),"",VLOOKUP(A5,IF({1,0},INDIRECT("达修波得!$"&amp;$E$1&amp;"$2:$"&amp;$E$1&amp;"$15"),达修波得!$A$2:$A$15),2,FALSE))</f>
        <v>宇</v>
      </c>
      <c r="G5" s="35" t="str">
        <f ca="1">IF(OR(OR($A5="",$B5=""),AND($C5&lt;&gt;"",$D5&lt;&gt;"")),"",VLOOKUP(B5,IF({1,0},INDIRECT("达修波得!$"&amp;$E$1&amp;"$2:$"&amp;$E$1&amp;"$15"),达修波得!$A$2:$A$15),2,FALSE))</f>
        <v>爷</v>
      </c>
      <c r="H5" s="35" t="str">
        <f t="shared" ca="1" si="1"/>
        <v>宇爷</v>
      </c>
    </row>
    <row r="6" spans="1:8">
      <c r="A6" s="51" t="s">
        <v>60</v>
      </c>
      <c r="B6" s="51" t="s">
        <v>116</v>
      </c>
      <c r="F6" s="35" t="str">
        <f ca="1">IF(OR(OR($A6="",$B6=""),AND($C6&lt;&gt;"",$D6&lt;&gt;"")),"",VLOOKUP(A6,IF({1,0},INDIRECT("达修波得!$"&amp;$E$1&amp;"$2:$"&amp;$E$1&amp;"$15"),达修波得!$A$2:$A$15),2,FALSE))</f>
        <v>黑</v>
      </c>
      <c r="G6" s="35" t="str">
        <f ca="1">IF(OR(OR($A6="",$B6=""),AND($C6&lt;&gt;"",$D6&lt;&gt;"")),"",VLOOKUP(B6,IF({1,0},INDIRECT("达修波得!$"&amp;$E$1&amp;"$2:$"&amp;$E$1&amp;"$15"),达修波得!$A$2:$A$15),2,FALSE))</f>
        <v>贝</v>
      </c>
      <c r="H6" s="35" t="str">
        <f t="shared" ca="1" si="1"/>
        <v>黑贝</v>
      </c>
    </row>
    <row r="7" spans="1:8">
      <c r="A7" s="51" t="s">
        <v>97</v>
      </c>
      <c r="B7" s="51" t="s">
        <v>95</v>
      </c>
      <c r="F7" s="35" t="str">
        <f ca="1">IF(OR(OR($A7="",$B7=""),AND($C7&lt;&gt;"",$D7&lt;&gt;"")),"",VLOOKUP(A7,IF({1,0},INDIRECT("达修波得!$"&amp;$E$1&amp;"$2:$"&amp;$E$1&amp;"$15"),达修波得!$A$2:$A$15),2,FALSE))</f>
        <v>磊</v>
      </c>
      <c r="G7" s="35" t="str">
        <f ca="1">IF(OR(OR($A7="",$B7=""),AND($C7&lt;&gt;"",$D7&lt;&gt;"")),"",VLOOKUP(B7,IF({1,0},INDIRECT("达修波得!$"&amp;$E$1&amp;"$2:$"&amp;$E$1&amp;"$15"),达修波得!$A$2:$A$15),2,FALSE))</f>
        <v>贝</v>
      </c>
      <c r="H7" s="35" t="str">
        <f t="shared" ca="1" si="1"/>
        <v>磊贝</v>
      </c>
    </row>
    <row r="8" spans="1:8">
      <c r="A8" s="4" t="s">
        <v>10</v>
      </c>
      <c r="F8" s="35" t="str">
        <f ca="1">IF(OR(OR($A8="",$B8=""),AND($C8&lt;&gt;"",$D8&lt;&gt;"")),"",VLOOKUP(A8,IF({1,0},INDIRECT("达修波得!$"&amp;$E$1&amp;"$2:$"&amp;$E$1&amp;"$15"),达修波得!$A$2:$A$15),2,FALSE))</f>
        <v/>
      </c>
      <c r="G8" s="35" t="str">
        <f ca="1">IF(OR(OR($A8="",$B8=""),AND($C8&lt;&gt;"",$D8&lt;&gt;"")),"",VLOOKUP(B8,IF({1,0},INDIRECT("达修波得!$"&amp;$E$1&amp;"$2:$"&amp;$E$1&amp;"$15"),达修波得!$A$2:$A$15),2,FALSE))</f>
        <v/>
      </c>
      <c r="H8" s="35" t="str">
        <f t="shared" ca="1" si="1"/>
        <v/>
      </c>
    </row>
    <row r="9" spans="1:8">
      <c r="A9" t="s">
        <v>85</v>
      </c>
      <c r="B9" t="s">
        <v>119</v>
      </c>
      <c r="F9" s="35" t="str">
        <f ca="1">IF(OR(OR($A9="",$B9=""),AND($C9&lt;&gt;"",$D9&lt;&gt;"")),"",VLOOKUP(A9,IF({1,0},INDIRECT("达修波得!$"&amp;$E$1&amp;"$2:$"&amp;$E$1&amp;"$15"),达修波得!$A$2:$A$15),2,FALSE))</f>
        <v>黑</v>
      </c>
      <c r="G9" s="35" t="str">
        <f ca="1">IF(OR(OR($A9="",$B9=""),AND($C9&lt;&gt;"",$D9&lt;&gt;"")),"",VLOOKUP(B9,IF({1,0},INDIRECT("达修波得!$"&amp;$E$1&amp;"$2:$"&amp;$E$1&amp;"$15"),达修波得!$A$2:$A$15),2,FALSE))</f>
        <v>二</v>
      </c>
      <c r="H9" s="35" t="str">
        <f t="shared" ca="1" si="1"/>
        <v>黑二</v>
      </c>
    </row>
    <row r="10" spans="1:8">
      <c r="A10" t="s">
        <v>157</v>
      </c>
      <c r="B10" t="s">
        <v>76</v>
      </c>
      <c r="F10" s="35" t="str">
        <f ca="1">IF(OR(OR($A10="",$B10=""),AND($C10&lt;&gt;"",$D10&lt;&gt;"")),"",VLOOKUP(A10,IF({1,0},INDIRECT("达修波得!$"&amp;$E$1&amp;"$2:$"&amp;$E$1&amp;"$15"),达修波得!$A$2:$A$15),2,FALSE))</f>
        <v>宇</v>
      </c>
      <c r="G10" s="35" t="str">
        <f ca="1">IF(OR(OR($A10="",$B10=""),AND($C10&lt;&gt;"",$D10&lt;&gt;"")),"",VLOOKUP(B10,IF({1,0},INDIRECT("达修波得!$"&amp;$E$1&amp;"$2:$"&amp;$E$1&amp;"$15"),达修波得!$A$2:$A$15),2,FALSE))</f>
        <v>磊</v>
      </c>
      <c r="H10" s="35" t="str">
        <f t="shared" ca="1" si="1"/>
        <v>宇磊</v>
      </c>
    </row>
    <row r="11" spans="1:8">
      <c r="A11" t="s">
        <v>61</v>
      </c>
      <c r="B11" t="s">
        <v>155</v>
      </c>
      <c r="F11" s="35" t="str">
        <f ca="1">IF(OR(OR($A11="",$B11=""),AND($C11&lt;&gt;"",$D11&lt;&gt;"")),"",VLOOKUP(A11,IF({1,0},INDIRECT("达修波得!$"&amp;$E$1&amp;"$2:$"&amp;$E$1&amp;"$15"),达修波得!$A$2:$A$15),2,FALSE))</f>
        <v>爷</v>
      </c>
      <c r="G11" s="35" t="str">
        <f ca="1">IF(OR(OR($A11="",$B11=""),AND($C11&lt;&gt;"",$D11&lt;&gt;"")),"",VLOOKUP(B11,IF({1,0},INDIRECT("达修波得!$"&amp;$E$1&amp;"$2:$"&amp;$E$1&amp;"$15"),达修波得!$A$2:$A$15),2,FALSE))</f>
        <v>爷</v>
      </c>
      <c r="H11" s="35" t="str">
        <f t="shared" ca="1" si="1"/>
        <v>爷爷</v>
      </c>
    </row>
    <row r="12" spans="1:8">
      <c r="A12" t="s">
        <v>40</v>
      </c>
      <c r="B12" t="s">
        <v>116</v>
      </c>
      <c r="F12" s="35" t="str">
        <f ca="1">IF(OR(OR($A12="",$B12=""),AND($C12&lt;&gt;"",$D12&lt;&gt;"")),"",VLOOKUP(A12,IF({1,0},INDIRECT("达修波得!$"&amp;$E$1&amp;"$2:$"&amp;$E$1&amp;"$15"),达修波得!$A$2:$A$15),2,FALSE))</f>
        <v>二</v>
      </c>
      <c r="G12" s="35" t="str">
        <f ca="1">IF(OR(OR($A12="",$B12=""),AND($C12&lt;&gt;"",$D12&lt;&gt;"")),"",VLOOKUP(B12,IF({1,0},INDIRECT("达修波得!$"&amp;$E$1&amp;"$2:$"&amp;$E$1&amp;"$15"),达修波得!$A$2:$A$15),2,FALSE))</f>
        <v>贝</v>
      </c>
      <c r="H12" s="35" t="str">
        <f t="shared" ca="1" si="1"/>
        <v>二贝</v>
      </c>
    </row>
    <row r="13" spans="1:8">
      <c r="A13" s="51" t="s">
        <v>29</v>
      </c>
      <c r="B13" s="51" t="s">
        <v>95</v>
      </c>
      <c r="F13" s="35" t="str">
        <f ca="1">IF(OR(OR($A13="",$B13=""),AND($C13&lt;&gt;"",$D13&lt;&gt;"")),"",VLOOKUP(A13,IF({1,0},INDIRECT("达修波得!$"&amp;$E$1&amp;"$2:$"&amp;$E$1&amp;"$15"),达修波得!$A$2:$A$15),2,FALSE))</f>
        <v>宇</v>
      </c>
      <c r="G13" s="35" t="str">
        <f ca="1">IF(OR(OR($A13="",$B13=""),AND($C13&lt;&gt;"",$D13&lt;&gt;"")),"",VLOOKUP(B13,IF({1,0},INDIRECT("达修波得!$"&amp;$E$1&amp;"$2:$"&amp;$E$1&amp;"$15"),达修波得!$A$2:$A$15),2,FALSE))</f>
        <v>贝</v>
      </c>
      <c r="H13" s="35" t="str">
        <f t="shared" ca="1" si="1"/>
        <v>宇贝</v>
      </c>
    </row>
    <row r="14" spans="1:8">
      <c r="A14" s="51" t="s">
        <v>60</v>
      </c>
      <c r="B14" s="51" t="s">
        <v>97</v>
      </c>
      <c r="F14" s="35" t="str">
        <f ca="1">IF(OR(OR($A14="",$B14=""),AND($C14&lt;&gt;"",$D14&lt;&gt;"")),"",VLOOKUP(A14,IF({1,0},INDIRECT("达修波得!$"&amp;$E$1&amp;"$2:$"&amp;$E$1&amp;"$15"),达修波得!$A$2:$A$15),2,FALSE))</f>
        <v>黑</v>
      </c>
      <c r="G14" s="35" t="str">
        <f ca="1">IF(OR(OR($A14="",$B14=""),AND($C14&lt;&gt;"",$D14&lt;&gt;"")),"",VLOOKUP(B14,IF({1,0},INDIRECT("达修波得!$"&amp;$E$1&amp;"$2:$"&amp;$E$1&amp;"$15"),达修波得!$A$2:$A$15),2,FALSE))</f>
        <v>磊</v>
      </c>
      <c r="H14" s="35" t="str">
        <f t="shared" ca="1" si="1"/>
        <v>黑磊</v>
      </c>
    </row>
    <row r="15" spans="1:8">
      <c r="A15" s="4" t="s">
        <v>11</v>
      </c>
      <c r="F15" s="35" t="str">
        <f ca="1">IF(OR(OR($A15="",$B15=""),AND($C15&lt;&gt;"",$D15&lt;&gt;"")),"",VLOOKUP(A15,IF({1,0},INDIRECT("达修波得!$"&amp;$E$1&amp;"$2:$"&amp;$E$1&amp;"$15"),达修波得!$A$2:$A$15),2,FALSE))</f>
        <v/>
      </c>
      <c r="G15" s="35" t="str">
        <f ca="1">IF(OR(OR($A15="",$B15=""),AND($C15&lt;&gt;"",$D15&lt;&gt;"")),"",VLOOKUP(B15,IF({1,0},INDIRECT("达修波得!$"&amp;$E$1&amp;"$2:$"&amp;$E$1&amp;"$15"),达修波得!$A$2:$A$15),2,FALSE))</f>
        <v/>
      </c>
      <c r="H15" s="35" t="str">
        <f t="shared" ca="1" si="1"/>
        <v/>
      </c>
    </row>
    <row r="16" spans="1:8">
      <c r="A16" t="s">
        <v>85</v>
      </c>
      <c r="B16" t="s">
        <v>76</v>
      </c>
      <c r="F16" s="35" t="str">
        <f ca="1">IF(OR(OR($A16="",$B16=""),AND($C16&lt;&gt;"",$D16&lt;&gt;"")),"",VLOOKUP(A16,IF({1,0},INDIRECT("达修波得!$"&amp;$E$1&amp;"$2:$"&amp;$E$1&amp;"$15"),达修波得!$A$2:$A$15),2,FALSE))</f>
        <v>黑</v>
      </c>
      <c r="G16" s="35" t="str">
        <f ca="1">IF(OR(OR($A16="",$B16=""),AND($C16&lt;&gt;"",$D16&lt;&gt;"")),"",VLOOKUP(B16,IF({1,0},INDIRECT("达修波得!$"&amp;$E$1&amp;"$2:$"&amp;$E$1&amp;"$15"),达修波得!$A$2:$A$15),2,FALSE))</f>
        <v>磊</v>
      </c>
      <c r="H16" s="35" t="str">
        <f t="shared" ca="1" si="1"/>
        <v>黑磊</v>
      </c>
    </row>
    <row r="17" spans="1:8">
      <c r="A17" t="s">
        <v>119</v>
      </c>
      <c r="B17" t="s">
        <v>155</v>
      </c>
      <c r="F17" s="35" t="str">
        <f ca="1">IF(OR(OR($A17="",$B17=""),AND($C17&lt;&gt;"",$D17&lt;&gt;"")),"",VLOOKUP(A17,IF({1,0},INDIRECT("达修波得!$"&amp;$E$1&amp;"$2:$"&amp;$E$1&amp;"$15"),达修波得!$A$2:$A$15),2,FALSE))</f>
        <v>二</v>
      </c>
      <c r="G17" s="35" t="str">
        <f ca="1">IF(OR(OR($A17="",$B17=""),AND($C17&lt;&gt;"",$D17&lt;&gt;"")),"",VLOOKUP(B17,IF({1,0},INDIRECT("达修波得!$"&amp;$E$1&amp;"$2:$"&amp;$E$1&amp;"$15"),达修波得!$A$2:$A$15),2,FALSE))</f>
        <v>爷</v>
      </c>
      <c r="H17" s="35" t="str">
        <f t="shared" ca="1" si="1"/>
        <v>二爷</v>
      </c>
    </row>
    <row r="18" spans="1:8">
      <c r="A18" t="s">
        <v>157</v>
      </c>
      <c r="B18" t="s">
        <v>116</v>
      </c>
      <c r="F18" s="35" t="str">
        <f ca="1">IF(OR(OR($A18="",$B18=""),AND($C18&lt;&gt;"",$D18&lt;&gt;"")),"",VLOOKUP(A18,IF({1,0},INDIRECT("达修波得!$"&amp;$E$1&amp;"$2:$"&amp;$E$1&amp;"$15"),达修波得!$A$2:$A$15),2,FALSE))</f>
        <v>宇</v>
      </c>
      <c r="G18" s="35" t="str">
        <f ca="1">IF(OR(OR($A18="",$B18=""),AND($C18&lt;&gt;"",$D18&lt;&gt;"")),"",VLOOKUP(B18,IF({1,0},INDIRECT("达修波得!$"&amp;$E$1&amp;"$2:$"&amp;$E$1&amp;"$15"),达修波得!$A$2:$A$15),2,FALSE))</f>
        <v>贝</v>
      </c>
      <c r="H18" s="35" t="str">
        <f t="shared" ca="1" si="1"/>
        <v>宇贝</v>
      </c>
    </row>
    <row r="19" spans="1:8">
      <c r="A19" t="s">
        <v>61</v>
      </c>
      <c r="B19" t="s">
        <v>95</v>
      </c>
      <c r="F19" s="35" t="str">
        <f ca="1">IF(OR(OR($A19="",$B19=""),AND($C19&lt;&gt;"",$D19&lt;&gt;"")),"",VLOOKUP(A19,IF({1,0},INDIRECT("达修波得!$"&amp;$E$1&amp;"$2:$"&amp;$E$1&amp;"$15"),达修波得!$A$2:$A$15),2,FALSE))</f>
        <v>爷</v>
      </c>
      <c r="G19" s="35" t="str">
        <f ca="1">IF(OR(OR($A19="",$B19=""),AND($C19&lt;&gt;"",$D19&lt;&gt;"")),"",VLOOKUP(B19,IF({1,0},INDIRECT("达修波得!$"&amp;$E$1&amp;"$2:$"&amp;$E$1&amp;"$15"),达修波得!$A$2:$A$15),2,FALSE))</f>
        <v>贝</v>
      </c>
      <c r="H19" s="35" t="str">
        <f t="shared" ca="1" si="1"/>
        <v>爷贝</v>
      </c>
    </row>
    <row r="20" spans="1:8">
      <c r="A20" s="51" t="s">
        <v>40</v>
      </c>
      <c r="B20" s="51" t="s">
        <v>97</v>
      </c>
      <c r="F20" s="35" t="str">
        <f ca="1">IF(OR(OR($A20="",$B20=""),AND($C20&lt;&gt;"",$D20&lt;&gt;"")),"",VLOOKUP(A20,IF({1,0},INDIRECT("达修波得!$"&amp;$E$1&amp;"$2:$"&amp;$E$1&amp;"$15"),达修波得!$A$2:$A$15),2,FALSE))</f>
        <v>二</v>
      </c>
      <c r="G20" s="35" t="str">
        <f ca="1">IF(OR(OR($A20="",$B20=""),AND($C20&lt;&gt;"",$D20&lt;&gt;"")),"",VLOOKUP(B20,IF({1,0},INDIRECT("达修波得!$"&amp;$E$1&amp;"$2:$"&amp;$E$1&amp;"$15"),达修波得!$A$2:$A$15),2,FALSE))</f>
        <v>磊</v>
      </c>
      <c r="H20" s="35" t="str">
        <f t="shared" ca="1" si="1"/>
        <v>二磊</v>
      </c>
    </row>
    <row r="21" spans="1:8">
      <c r="A21" s="51" t="s">
        <v>29</v>
      </c>
      <c r="B21" s="51" t="s">
        <v>60</v>
      </c>
      <c r="F21" s="35" t="str">
        <f ca="1">IF(OR(OR($A21="",$B21=""),AND($C21&lt;&gt;"",$D21&lt;&gt;"")),"",VLOOKUP(A21,IF({1,0},INDIRECT("达修波得!$"&amp;$E$1&amp;"$2:$"&amp;$E$1&amp;"$15"),达修波得!$A$2:$A$15),2,FALSE))</f>
        <v>宇</v>
      </c>
      <c r="G21" s="35" t="str">
        <f ca="1">IF(OR(OR($A21="",$B21=""),AND($C21&lt;&gt;"",$D21&lt;&gt;"")),"",VLOOKUP(B21,IF({1,0},INDIRECT("达修波得!$"&amp;$E$1&amp;"$2:$"&amp;$E$1&amp;"$15"),达修波得!$A$2:$A$15),2,FALSE))</f>
        <v>黑</v>
      </c>
      <c r="H21" s="35" t="str">
        <f t="shared" ca="1" si="1"/>
        <v>宇黑</v>
      </c>
    </row>
    <row r="22" spans="1:8">
      <c r="A22" s="4" t="s">
        <v>15</v>
      </c>
      <c r="F22" s="35" t="str">
        <f ca="1">IF(OR(OR($A22="",$B22=""),AND($C22&lt;&gt;"",$D22&lt;&gt;"")),"",VLOOKUP(A22,IF({1,0},INDIRECT("达修波得!$"&amp;$E$1&amp;"$2:$"&amp;$E$1&amp;"$15"),达修波得!$A$2:$A$15),2,FALSE))</f>
        <v/>
      </c>
      <c r="G22" s="35" t="str">
        <f ca="1">IF(OR(OR($A22="",$B22=""),AND($C22&lt;&gt;"",$D22&lt;&gt;"")),"",VLOOKUP(B22,IF({1,0},INDIRECT("达修波得!$"&amp;$E$1&amp;"$2:$"&amp;$E$1&amp;"$15"),达修波得!$A$2:$A$15),2,FALSE))</f>
        <v/>
      </c>
      <c r="H22" s="35" t="str">
        <f t="shared" ca="1" si="1"/>
        <v/>
      </c>
    </row>
    <row r="23" spans="1:8">
      <c r="A23" t="s">
        <v>85</v>
      </c>
      <c r="B23" t="s">
        <v>155</v>
      </c>
      <c r="F23" s="35" t="str">
        <f ca="1">IF(OR(OR($A23="",$B23=""),AND($C23&lt;&gt;"",$D23&lt;&gt;"")),"",VLOOKUP(A23,IF({1,0},INDIRECT("达修波得!$"&amp;$E$1&amp;"$2:$"&amp;$E$1&amp;"$15"),达修波得!$A$2:$A$15),2,FALSE))</f>
        <v>黑</v>
      </c>
      <c r="G23" s="35" t="str">
        <f ca="1">IF(OR(OR($A23="",$B23=""),AND($C23&lt;&gt;"",$D23&lt;&gt;"")),"",VLOOKUP(B23,IF({1,0},INDIRECT("达修波得!$"&amp;$E$1&amp;"$2:$"&amp;$E$1&amp;"$15"),达修波得!$A$2:$A$15),2,FALSE))</f>
        <v>爷</v>
      </c>
      <c r="H23" s="35" t="str">
        <f t="shared" ca="1" si="1"/>
        <v>黑爷</v>
      </c>
    </row>
    <row r="24" spans="1:8">
      <c r="A24" t="s">
        <v>76</v>
      </c>
      <c r="B24" t="s">
        <v>116</v>
      </c>
      <c r="F24" s="35" t="str">
        <f ca="1">IF(OR(OR($A24="",$B24=""),AND($C24&lt;&gt;"",$D24&lt;&gt;"")),"",VLOOKUP(A24,IF({1,0},INDIRECT("达修波得!$"&amp;$E$1&amp;"$2:$"&amp;$E$1&amp;"$15"),达修波得!$A$2:$A$15),2,FALSE))</f>
        <v>磊</v>
      </c>
      <c r="G24" s="35" t="str">
        <f ca="1">IF(OR(OR($A24="",$B24=""),AND($C24&lt;&gt;"",$D24&lt;&gt;"")),"",VLOOKUP(B24,IF({1,0},INDIRECT("达修波得!$"&amp;$E$1&amp;"$2:$"&amp;$E$1&amp;"$15"),达修波得!$A$2:$A$15),2,FALSE))</f>
        <v>贝</v>
      </c>
      <c r="H24" s="35" t="str">
        <f t="shared" ca="1" si="1"/>
        <v>磊贝</v>
      </c>
    </row>
    <row r="25" spans="1:8">
      <c r="A25" t="s">
        <v>119</v>
      </c>
      <c r="B25" t="s">
        <v>95</v>
      </c>
      <c r="F25" s="35" t="str">
        <f ca="1">IF(OR(OR($A25="",$B25=""),AND($C25&lt;&gt;"",$D25&lt;&gt;"")),"",VLOOKUP(A25,IF({1,0},INDIRECT("达修波得!$"&amp;$E$1&amp;"$2:$"&amp;$E$1&amp;"$15"),达修波得!$A$2:$A$15),2,FALSE))</f>
        <v>二</v>
      </c>
      <c r="G25" s="35" t="str">
        <f ca="1">IF(OR(OR($A25="",$B25=""),AND($C25&lt;&gt;"",$D25&lt;&gt;"")),"",VLOOKUP(B25,IF({1,0},INDIRECT("达修波得!$"&amp;$E$1&amp;"$2:$"&amp;$E$1&amp;"$15"),达修波得!$A$2:$A$15),2,FALSE))</f>
        <v>贝</v>
      </c>
      <c r="H25" s="35" t="str">
        <f t="shared" ca="1" si="1"/>
        <v>二贝</v>
      </c>
    </row>
    <row r="26" spans="1:8">
      <c r="A26" t="s">
        <v>157</v>
      </c>
      <c r="B26" t="s">
        <v>97</v>
      </c>
      <c r="F26" s="35" t="str">
        <f ca="1">IF(OR(OR($A26="",$B26=""),AND($C26&lt;&gt;"",$D26&lt;&gt;"")),"",VLOOKUP(A26,IF({1,0},INDIRECT("达修波得!$"&amp;$E$1&amp;"$2:$"&amp;$E$1&amp;"$15"),达修波得!$A$2:$A$15),2,FALSE))</f>
        <v>宇</v>
      </c>
      <c r="G26" s="35" t="str">
        <f ca="1">IF(OR(OR($A26="",$B26=""),AND($C26&lt;&gt;"",$D26&lt;&gt;"")),"",VLOOKUP(B26,IF({1,0},INDIRECT("达修波得!$"&amp;$E$1&amp;"$2:$"&amp;$E$1&amp;"$15"),达修波得!$A$2:$A$15),2,FALSE))</f>
        <v>磊</v>
      </c>
      <c r="H26" s="35" t="str">
        <f t="shared" ca="1" si="1"/>
        <v>宇磊</v>
      </c>
    </row>
    <row r="27" spans="1:8">
      <c r="A27" s="51" t="s">
        <v>61</v>
      </c>
      <c r="B27" s="51" t="s">
        <v>60</v>
      </c>
      <c r="F27" s="35" t="str">
        <f ca="1">IF(OR(OR($A27="",$B27=""),AND($C27&lt;&gt;"",$D27&lt;&gt;"")),"",VLOOKUP(A27,IF({1,0},INDIRECT("达修波得!$"&amp;$E$1&amp;"$2:$"&amp;$E$1&amp;"$15"),达修波得!$A$2:$A$15),2,FALSE))</f>
        <v>爷</v>
      </c>
      <c r="G27" s="35" t="str">
        <f ca="1">IF(OR(OR($A27="",$B27=""),AND($C27&lt;&gt;"",$D27&lt;&gt;"")),"",VLOOKUP(B27,IF({1,0},INDIRECT("达修波得!$"&amp;$E$1&amp;"$2:$"&amp;$E$1&amp;"$15"),达修波得!$A$2:$A$15),2,FALSE))</f>
        <v>黑</v>
      </c>
      <c r="H27" s="35" t="str">
        <f t="shared" ca="1" si="1"/>
        <v>爷黑</v>
      </c>
    </row>
    <row r="28" spans="1:8">
      <c r="A28" s="51" t="s">
        <v>40</v>
      </c>
      <c r="B28" s="51" t="s">
        <v>29</v>
      </c>
      <c r="F28" s="35" t="str">
        <f ca="1">IF(OR(OR($A28="",$B28=""),AND($C28&lt;&gt;"",$D28&lt;&gt;"")),"",VLOOKUP(A28,IF({1,0},INDIRECT("达修波得!$"&amp;$E$1&amp;"$2:$"&amp;$E$1&amp;"$15"),达修波得!$A$2:$A$15),2,FALSE))</f>
        <v>二</v>
      </c>
      <c r="G28" s="35" t="str">
        <f ca="1">IF(OR(OR($A28="",$B28=""),AND($C28&lt;&gt;"",$D28&lt;&gt;"")),"",VLOOKUP(B28,IF({1,0},INDIRECT("达修波得!$"&amp;$E$1&amp;"$2:$"&amp;$E$1&amp;"$15"),达修波得!$A$2:$A$15),2,FALSE))</f>
        <v>宇</v>
      </c>
      <c r="H28" s="35" t="str">
        <f t="shared" ca="1" si="1"/>
        <v>二宇</v>
      </c>
    </row>
    <row r="29" spans="1:8">
      <c r="A29" s="4" t="s">
        <v>16</v>
      </c>
      <c r="F29" s="35" t="str">
        <f ca="1">IF(OR(OR($A29="",$B29=""),AND($C29&lt;&gt;"",$D29&lt;&gt;"")),"",VLOOKUP(A29,IF({1,0},INDIRECT("达修波得!$"&amp;$E$1&amp;"$2:$"&amp;$E$1&amp;"$15"),达修波得!$A$2:$A$15),2,FALSE))</f>
        <v/>
      </c>
      <c r="G29" s="35" t="str">
        <f ca="1">IF(OR(OR($A29="",$B29=""),AND($C29&lt;&gt;"",$D29&lt;&gt;"")),"",VLOOKUP(B29,IF({1,0},INDIRECT("达修波得!$"&amp;$E$1&amp;"$2:$"&amp;$E$1&amp;"$15"),达修波得!$A$2:$A$15),2,FALSE))</f>
        <v/>
      </c>
      <c r="H29" s="35" t="str">
        <f t="shared" ca="1" si="1"/>
        <v/>
      </c>
    </row>
    <row r="30" spans="1:8">
      <c r="A30" t="s">
        <v>85</v>
      </c>
      <c r="B30" t="s">
        <v>116</v>
      </c>
      <c r="F30" s="35" t="str">
        <f ca="1">IF(OR(OR($A30="",$B30=""),AND($C30&lt;&gt;"",$D30&lt;&gt;"")),"",VLOOKUP(A30,IF({1,0},INDIRECT("达修波得!$"&amp;$E$1&amp;"$2:$"&amp;$E$1&amp;"$15"),达修波得!$A$2:$A$15),2,FALSE))</f>
        <v>黑</v>
      </c>
      <c r="G30" s="35" t="str">
        <f ca="1">IF(OR(OR($A30="",$B30=""),AND($C30&lt;&gt;"",$D30&lt;&gt;"")),"",VLOOKUP(B30,IF({1,0},INDIRECT("达修波得!$"&amp;$E$1&amp;"$2:$"&amp;$E$1&amp;"$15"),达修波得!$A$2:$A$15),2,FALSE))</f>
        <v>贝</v>
      </c>
      <c r="H30" s="35" t="str">
        <f t="shared" ca="1" si="1"/>
        <v>黑贝</v>
      </c>
    </row>
    <row r="31" spans="1:8">
      <c r="A31" t="s">
        <v>155</v>
      </c>
      <c r="B31" t="s">
        <v>95</v>
      </c>
      <c r="F31" s="35" t="str">
        <f ca="1">IF(OR(OR($A31="",$B31=""),AND($C31&lt;&gt;"",$D31&lt;&gt;"")),"",VLOOKUP(A31,IF({1,0},INDIRECT("达修波得!$"&amp;$E$1&amp;"$2:$"&amp;$E$1&amp;"$15"),达修波得!$A$2:$A$15),2,FALSE))</f>
        <v>爷</v>
      </c>
      <c r="G31" s="35" t="str">
        <f ca="1">IF(OR(OR($A31="",$B31=""),AND($C31&lt;&gt;"",$D31&lt;&gt;"")),"",VLOOKUP(B31,IF({1,0},INDIRECT("达修波得!$"&amp;$E$1&amp;"$2:$"&amp;$E$1&amp;"$15"),达修波得!$A$2:$A$15),2,FALSE))</f>
        <v>贝</v>
      </c>
      <c r="H31" s="35" t="str">
        <f t="shared" ca="1" si="1"/>
        <v>爷贝</v>
      </c>
    </row>
    <row r="32" spans="1:8">
      <c r="A32" t="s">
        <v>76</v>
      </c>
      <c r="B32" t="s">
        <v>97</v>
      </c>
      <c r="F32" s="35" t="str">
        <f ca="1">IF(OR(OR($A32="",$B32=""),AND($C32&lt;&gt;"",$D32&lt;&gt;"")),"",VLOOKUP(A32,IF({1,0},INDIRECT("达修波得!$"&amp;$E$1&amp;"$2:$"&amp;$E$1&amp;"$15"),达修波得!$A$2:$A$15),2,FALSE))</f>
        <v>磊</v>
      </c>
      <c r="G32" s="35" t="str">
        <f ca="1">IF(OR(OR($A32="",$B32=""),AND($C32&lt;&gt;"",$D32&lt;&gt;"")),"",VLOOKUP(B32,IF({1,0},INDIRECT("达修波得!$"&amp;$E$1&amp;"$2:$"&amp;$E$1&amp;"$15"),达修波得!$A$2:$A$15),2,FALSE))</f>
        <v>磊</v>
      </c>
      <c r="H32" s="35" t="str">
        <f t="shared" ca="1" si="1"/>
        <v>磊磊</v>
      </c>
    </row>
    <row r="33" spans="1:8">
      <c r="A33" t="s">
        <v>119</v>
      </c>
      <c r="B33" t="s">
        <v>60</v>
      </c>
      <c r="F33" s="35" t="str">
        <f ca="1">IF(OR(OR($A33="",$B33=""),AND($C33&lt;&gt;"",$D33&lt;&gt;"")),"",VLOOKUP(A33,IF({1,0},INDIRECT("达修波得!$"&amp;$E$1&amp;"$2:$"&amp;$E$1&amp;"$15"),达修波得!$A$2:$A$15),2,FALSE))</f>
        <v>二</v>
      </c>
      <c r="G33" s="35" t="str">
        <f ca="1">IF(OR(OR($A33="",$B33=""),AND($C33&lt;&gt;"",$D33&lt;&gt;"")),"",VLOOKUP(B33,IF({1,0},INDIRECT("达修波得!$"&amp;$E$1&amp;"$2:$"&amp;$E$1&amp;"$15"),达修波得!$A$2:$A$15),2,FALSE))</f>
        <v>黑</v>
      </c>
      <c r="H33" s="35" t="str">
        <f t="shared" ca="1" si="1"/>
        <v>二黑</v>
      </c>
    </row>
    <row r="34" spans="1:8">
      <c r="A34" s="51" t="s">
        <v>157</v>
      </c>
      <c r="B34" s="51" t="s">
        <v>29</v>
      </c>
      <c r="F34" s="35" t="str">
        <f ca="1">IF(OR(OR($A34="",$B34=""),AND($C34&lt;&gt;"",$D34&lt;&gt;"")),"",VLOOKUP(A34,IF({1,0},INDIRECT("达修波得!$"&amp;$E$1&amp;"$2:$"&amp;$E$1&amp;"$15"),达修波得!$A$2:$A$15),2,FALSE))</f>
        <v>宇</v>
      </c>
      <c r="G34" s="35" t="str">
        <f ca="1">IF(OR(OR($A34="",$B34=""),AND($C34&lt;&gt;"",$D34&lt;&gt;"")),"",VLOOKUP(B34,IF({1,0},INDIRECT("达修波得!$"&amp;$E$1&amp;"$2:$"&amp;$E$1&amp;"$15"),达修波得!$A$2:$A$15),2,FALSE))</f>
        <v>宇</v>
      </c>
      <c r="H34" s="35" t="str">
        <f t="shared" ca="1" si="1"/>
        <v>宇宇</v>
      </c>
    </row>
    <row r="35" spans="1:8">
      <c r="A35" s="51" t="s">
        <v>61</v>
      </c>
      <c r="B35" s="51" t="s">
        <v>40</v>
      </c>
      <c r="F35" s="35" t="str">
        <f ca="1">IF(OR(OR($A35="",$B35=""),AND($C35&lt;&gt;"",$D35&lt;&gt;"")),"",VLOOKUP(A35,IF({1,0},INDIRECT("达修波得!$"&amp;$E$1&amp;"$2:$"&amp;$E$1&amp;"$15"),达修波得!$A$2:$A$15),2,FALSE))</f>
        <v>爷</v>
      </c>
      <c r="G35" s="35" t="str">
        <f ca="1">IF(OR(OR($A35="",$B35=""),AND($C35&lt;&gt;"",$D35&lt;&gt;"")),"",VLOOKUP(B35,IF({1,0},INDIRECT("达修波得!$"&amp;$E$1&amp;"$2:$"&amp;$E$1&amp;"$15"),达修波得!$A$2:$A$15),2,FALSE))</f>
        <v>二</v>
      </c>
      <c r="H35" s="35" t="str">
        <f t="shared" ca="1" si="1"/>
        <v>爷二</v>
      </c>
    </row>
    <row r="36" spans="1:8">
      <c r="A36" s="4" t="s">
        <v>17</v>
      </c>
      <c r="F36" s="35" t="str">
        <f ca="1">IF(OR(OR($A36="",$B36=""),AND($C36&lt;&gt;"",$D36&lt;&gt;"")),"",VLOOKUP(A36,IF({1,0},INDIRECT("达修波得!$"&amp;$E$1&amp;"$2:$"&amp;$E$1&amp;"$15"),达修波得!$A$2:$A$15),2,FALSE))</f>
        <v/>
      </c>
      <c r="G36" s="35" t="str">
        <f ca="1">IF(OR(OR($A36="",$B36=""),AND($C36&lt;&gt;"",$D36&lt;&gt;"")),"",VLOOKUP(B36,IF({1,0},INDIRECT("达修波得!$"&amp;$E$1&amp;"$2:$"&amp;$E$1&amp;"$15"),达修波得!$A$2:$A$15),2,FALSE))</f>
        <v/>
      </c>
      <c r="H36" s="35" t="str">
        <f t="shared" ca="1" si="1"/>
        <v/>
      </c>
    </row>
    <row r="37" spans="1:8">
      <c r="A37" t="s">
        <v>85</v>
      </c>
      <c r="B37" t="s">
        <v>95</v>
      </c>
      <c r="F37" s="35" t="str">
        <f ca="1">IF(OR(OR($A37="",$B37=""),AND($C37&lt;&gt;"",$D37&lt;&gt;"")),"",VLOOKUP(A37,IF({1,0},INDIRECT("达修波得!$"&amp;$E$1&amp;"$2:$"&amp;$E$1&amp;"$15"),达修波得!$A$2:$A$15),2,FALSE))</f>
        <v>黑</v>
      </c>
      <c r="G37" s="35" t="str">
        <f ca="1">IF(OR(OR($A37="",$B37=""),AND($C37&lt;&gt;"",$D37&lt;&gt;"")),"",VLOOKUP(B37,IF({1,0},INDIRECT("达修波得!$"&amp;$E$1&amp;"$2:$"&amp;$E$1&amp;"$15"),达修波得!$A$2:$A$15),2,FALSE))</f>
        <v>贝</v>
      </c>
      <c r="H37" s="35" t="str">
        <f t="shared" ca="1" si="1"/>
        <v>黑贝</v>
      </c>
    </row>
    <row r="38" spans="1:8">
      <c r="A38" t="s">
        <v>116</v>
      </c>
      <c r="B38" t="s">
        <v>97</v>
      </c>
      <c r="F38" s="35" t="str">
        <f ca="1">IF(OR(OR($A38="",$B38=""),AND($C38&lt;&gt;"",$D38&lt;&gt;"")),"",VLOOKUP(A38,IF({1,0},INDIRECT("达修波得!$"&amp;$E$1&amp;"$2:$"&amp;$E$1&amp;"$15"),达修波得!$A$2:$A$15),2,FALSE))</f>
        <v>贝</v>
      </c>
      <c r="G38" s="35" t="str">
        <f ca="1">IF(OR(OR($A38="",$B38=""),AND($C38&lt;&gt;"",$D38&lt;&gt;"")),"",VLOOKUP(B38,IF({1,0},INDIRECT("达修波得!$"&amp;$E$1&amp;"$2:$"&amp;$E$1&amp;"$15"),达修波得!$A$2:$A$15),2,FALSE))</f>
        <v>磊</v>
      </c>
      <c r="H38" s="35" t="str">
        <f t="shared" ca="1" si="1"/>
        <v>贝磊</v>
      </c>
    </row>
    <row r="39" spans="1:8">
      <c r="A39" t="s">
        <v>155</v>
      </c>
      <c r="B39" t="s">
        <v>60</v>
      </c>
      <c r="F39" s="35" t="str">
        <f ca="1">IF(OR(OR($A39="",$B39=""),AND($C39&lt;&gt;"",$D39&lt;&gt;"")),"",VLOOKUP(A39,IF({1,0},INDIRECT("达修波得!$"&amp;$E$1&amp;"$2:$"&amp;$E$1&amp;"$15"),达修波得!$A$2:$A$15),2,FALSE))</f>
        <v>爷</v>
      </c>
      <c r="G39" s="35" t="str">
        <f ca="1">IF(OR(OR($A39="",$B39=""),AND($C39&lt;&gt;"",$D39&lt;&gt;"")),"",VLOOKUP(B39,IF({1,0},INDIRECT("达修波得!$"&amp;$E$1&amp;"$2:$"&amp;$E$1&amp;"$15"),达修波得!$A$2:$A$15),2,FALSE))</f>
        <v>黑</v>
      </c>
      <c r="H39" s="35" t="str">
        <f t="shared" ca="1" si="1"/>
        <v>爷黑</v>
      </c>
    </row>
    <row r="40" spans="1:8">
      <c r="A40" t="s">
        <v>76</v>
      </c>
      <c r="B40" t="s">
        <v>29</v>
      </c>
      <c r="F40" s="35" t="str">
        <f ca="1">IF(OR(OR($A40="",$B40=""),AND($C40&lt;&gt;"",$D40&lt;&gt;"")),"",VLOOKUP(A40,IF({1,0},INDIRECT("达修波得!$"&amp;$E$1&amp;"$2:$"&amp;$E$1&amp;"$15"),达修波得!$A$2:$A$15),2,FALSE))</f>
        <v>磊</v>
      </c>
      <c r="G40" s="35" t="str">
        <f ca="1">IF(OR(OR($A40="",$B40=""),AND($C40&lt;&gt;"",$D40&lt;&gt;"")),"",VLOOKUP(B40,IF({1,0},INDIRECT("达修波得!$"&amp;$E$1&amp;"$2:$"&amp;$E$1&amp;"$15"),达修波得!$A$2:$A$15),2,FALSE))</f>
        <v>宇</v>
      </c>
      <c r="H40" s="35" t="str">
        <f t="shared" ca="1" si="1"/>
        <v>磊宇</v>
      </c>
    </row>
    <row r="41" spans="1:8">
      <c r="A41" s="51" t="s">
        <v>119</v>
      </c>
      <c r="B41" s="51" t="s">
        <v>40</v>
      </c>
      <c r="F41" s="35" t="str">
        <f ca="1">IF(OR(OR($A41="",$B41=""),AND($C41&lt;&gt;"",$D41&lt;&gt;"")),"",VLOOKUP(A41,IF({1,0},INDIRECT("达修波得!$"&amp;$E$1&amp;"$2:$"&amp;$E$1&amp;"$15"),达修波得!$A$2:$A$15),2,FALSE))</f>
        <v>二</v>
      </c>
      <c r="G41" s="35" t="str">
        <f ca="1">IF(OR(OR($A41="",$B41=""),AND($C41&lt;&gt;"",$D41&lt;&gt;"")),"",VLOOKUP(B41,IF({1,0},INDIRECT("达修波得!$"&amp;$E$1&amp;"$2:$"&amp;$E$1&amp;"$15"),达修波得!$A$2:$A$15),2,FALSE))</f>
        <v>二</v>
      </c>
      <c r="H41" s="35" t="str">
        <f t="shared" ca="1" si="1"/>
        <v>二二</v>
      </c>
    </row>
    <row r="42" spans="1:8">
      <c r="A42" s="51" t="s">
        <v>157</v>
      </c>
      <c r="B42" s="51" t="s">
        <v>61</v>
      </c>
      <c r="F42" s="35" t="str">
        <f ca="1">IF(OR(OR($A42="",$B42=""),AND($C42&lt;&gt;"",$D42&lt;&gt;"")),"",VLOOKUP(A42,IF({1,0},INDIRECT("达修波得!$"&amp;$E$1&amp;"$2:$"&amp;$E$1&amp;"$15"),达修波得!$A$2:$A$15),2,FALSE))</f>
        <v>宇</v>
      </c>
      <c r="G42" s="35" t="str">
        <f ca="1">IF(OR(OR($A42="",$B42=""),AND($C42&lt;&gt;"",$D42&lt;&gt;"")),"",VLOOKUP(B42,IF({1,0},INDIRECT("达修波得!$"&amp;$E$1&amp;"$2:$"&amp;$E$1&amp;"$15"),达修波得!$A$2:$A$15),2,FALSE))</f>
        <v>爷</v>
      </c>
      <c r="H42" s="35" t="str">
        <f t="shared" ca="1" si="1"/>
        <v>宇爷</v>
      </c>
    </row>
    <row r="43" spans="1:8">
      <c r="A43" s="4" t="s">
        <v>18</v>
      </c>
      <c r="F43" s="35" t="str">
        <f ca="1">IF(OR(OR($A43="",$B43=""),AND($C43&lt;&gt;"",$D43&lt;&gt;"")),"",VLOOKUP(A43,IF({1,0},INDIRECT("达修波得!$"&amp;$E$1&amp;"$2:$"&amp;$E$1&amp;"$15"),达修波得!$A$2:$A$15),2,FALSE))</f>
        <v/>
      </c>
      <c r="G43" s="35" t="str">
        <f ca="1">IF(OR(OR($A43="",$B43=""),AND($C43&lt;&gt;"",$D43&lt;&gt;"")),"",VLOOKUP(B43,IF({1,0},INDIRECT("达修波得!$"&amp;$E$1&amp;"$2:$"&amp;$E$1&amp;"$15"),达修波得!$A$2:$A$15),2,FALSE))</f>
        <v/>
      </c>
      <c r="H43" s="35" t="str">
        <f t="shared" ca="1" si="1"/>
        <v/>
      </c>
    </row>
    <row r="44" spans="1:8">
      <c r="A44" t="s">
        <v>85</v>
      </c>
      <c r="B44" t="s">
        <v>97</v>
      </c>
      <c r="F44" s="35" t="str">
        <f ca="1">IF(OR(OR($A44="",$B44=""),AND($C44&lt;&gt;"",$D44&lt;&gt;"")),"",VLOOKUP(A44,IF({1,0},INDIRECT("达修波得!$"&amp;$E$1&amp;"$2:$"&amp;$E$1&amp;"$15"),达修波得!$A$2:$A$15),2,FALSE))</f>
        <v>黑</v>
      </c>
      <c r="G44" s="35" t="str">
        <f ca="1">IF(OR(OR($A44="",$B44=""),AND($C44&lt;&gt;"",$D44&lt;&gt;"")),"",VLOOKUP(B44,IF({1,0},INDIRECT("达修波得!$"&amp;$E$1&amp;"$2:$"&amp;$E$1&amp;"$15"),达修波得!$A$2:$A$15),2,FALSE))</f>
        <v>磊</v>
      </c>
      <c r="H44" s="35" t="str">
        <f t="shared" ca="1" si="1"/>
        <v>黑磊</v>
      </c>
    </row>
    <row r="45" spans="1:8">
      <c r="A45" t="s">
        <v>95</v>
      </c>
      <c r="B45" t="s">
        <v>60</v>
      </c>
      <c r="F45" s="35" t="str">
        <f ca="1">IF(OR(OR($A45="",$B45=""),AND($C45&lt;&gt;"",$D45&lt;&gt;"")),"",VLOOKUP(A45,IF({1,0},INDIRECT("达修波得!$"&amp;$E$1&amp;"$2:$"&amp;$E$1&amp;"$15"),达修波得!$A$2:$A$15),2,FALSE))</f>
        <v>贝</v>
      </c>
      <c r="G45" s="35" t="str">
        <f ca="1">IF(OR(OR($A45="",$B45=""),AND($C45&lt;&gt;"",$D45&lt;&gt;"")),"",VLOOKUP(B45,IF({1,0},INDIRECT("达修波得!$"&amp;$E$1&amp;"$2:$"&amp;$E$1&amp;"$15"),达修波得!$A$2:$A$15),2,FALSE))</f>
        <v>黑</v>
      </c>
      <c r="H45" s="35" t="str">
        <f t="shared" ca="1" si="1"/>
        <v>贝黑</v>
      </c>
    </row>
    <row r="46" spans="1:8">
      <c r="A46" t="s">
        <v>116</v>
      </c>
      <c r="B46" t="s">
        <v>29</v>
      </c>
      <c r="F46" s="35" t="str">
        <f ca="1">IF(OR(OR($A46="",$B46=""),AND($C46&lt;&gt;"",$D46&lt;&gt;"")),"",VLOOKUP(A46,IF({1,0},INDIRECT("达修波得!$"&amp;$E$1&amp;"$2:$"&amp;$E$1&amp;"$15"),达修波得!$A$2:$A$15),2,FALSE))</f>
        <v>贝</v>
      </c>
      <c r="G46" s="35" t="str">
        <f ca="1">IF(OR(OR($A46="",$B46=""),AND($C46&lt;&gt;"",$D46&lt;&gt;"")),"",VLOOKUP(B46,IF({1,0},INDIRECT("达修波得!$"&amp;$E$1&amp;"$2:$"&amp;$E$1&amp;"$15"),达修波得!$A$2:$A$15),2,FALSE))</f>
        <v>宇</v>
      </c>
      <c r="H46" s="35" t="str">
        <f t="shared" ca="1" si="1"/>
        <v>贝宇</v>
      </c>
    </row>
    <row r="47" spans="1:8">
      <c r="A47" t="s">
        <v>155</v>
      </c>
      <c r="B47" t="s">
        <v>40</v>
      </c>
      <c r="F47" s="35" t="str">
        <f ca="1">IF(OR(OR($A47="",$B47=""),AND($C47&lt;&gt;"",$D47&lt;&gt;"")),"",VLOOKUP(A47,IF({1,0},INDIRECT("达修波得!$"&amp;$E$1&amp;"$2:$"&amp;$E$1&amp;"$15"),达修波得!$A$2:$A$15),2,FALSE))</f>
        <v>爷</v>
      </c>
      <c r="G47" s="35" t="str">
        <f ca="1">IF(OR(OR($A47="",$B47=""),AND($C47&lt;&gt;"",$D47&lt;&gt;"")),"",VLOOKUP(B47,IF({1,0},INDIRECT("达修波得!$"&amp;$E$1&amp;"$2:$"&amp;$E$1&amp;"$15"),达修波得!$A$2:$A$15),2,FALSE))</f>
        <v>二</v>
      </c>
      <c r="H47" s="35" t="str">
        <f t="shared" ca="1" si="1"/>
        <v>爷二</v>
      </c>
    </row>
    <row r="48" spans="1:8">
      <c r="A48" s="51" t="s">
        <v>76</v>
      </c>
      <c r="B48" s="51" t="s">
        <v>61</v>
      </c>
      <c r="F48" s="35" t="str">
        <f ca="1">IF(OR(OR($A48="",$B48=""),AND($C48&lt;&gt;"",$D48&lt;&gt;"")),"",VLOOKUP(A48,IF({1,0},INDIRECT("达修波得!$"&amp;$E$1&amp;"$2:$"&amp;$E$1&amp;"$15"),达修波得!$A$2:$A$15),2,FALSE))</f>
        <v>磊</v>
      </c>
      <c r="G48" s="35" t="str">
        <f ca="1">IF(OR(OR($A48="",$B48=""),AND($C48&lt;&gt;"",$D48&lt;&gt;"")),"",VLOOKUP(B48,IF({1,0},INDIRECT("达修波得!$"&amp;$E$1&amp;"$2:$"&amp;$E$1&amp;"$15"),达修波得!$A$2:$A$15),2,FALSE))</f>
        <v>爷</v>
      </c>
      <c r="H48" s="35" t="str">
        <f t="shared" ca="1" si="1"/>
        <v>磊爷</v>
      </c>
    </row>
    <row r="49" spans="1:8">
      <c r="A49" s="51" t="s">
        <v>119</v>
      </c>
      <c r="B49" s="51" t="s">
        <v>157</v>
      </c>
      <c r="F49" s="35" t="str">
        <f ca="1">IF(OR(OR($A49="",$B49=""),AND($C49&lt;&gt;"",$D49&lt;&gt;"")),"",VLOOKUP(A49,IF({1,0},INDIRECT("达修波得!$"&amp;$E$1&amp;"$2:$"&amp;$E$1&amp;"$15"),达修波得!$A$2:$A$15),2,FALSE))</f>
        <v>二</v>
      </c>
      <c r="G49" s="35" t="str">
        <f ca="1">IF(OR(OR($A49="",$B49=""),AND($C49&lt;&gt;"",$D49&lt;&gt;"")),"",VLOOKUP(B49,IF({1,0},INDIRECT("达修波得!$"&amp;$E$1&amp;"$2:$"&amp;$E$1&amp;"$15"),达修波得!$A$2:$A$15),2,FALSE))</f>
        <v>宇</v>
      </c>
      <c r="H49" s="35" t="str">
        <f t="shared" ca="1" si="1"/>
        <v>二宇</v>
      </c>
    </row>
    <row r="50" spans="1:8">
      <c r="A50" s="4" t="s">
        <v>30</v>
      </c>
      <c r="F50" s="35" t="str">
        <f ca="1">IF(OR(OR($A50="",$B50=""),AND($C50&lt;&gt;"",$D50&lt;&gt;"")),"",VLOOKUP(A50,IF({1,0},INDIRECT("达修波得!$"&amp;$E$1&amp;"$2:$"&amp;$E$1&amp;"$15"),达修波得!$A$2:$A$15),2,FALSE))</f>
        <v/>
      </c>
      <c r="G50" s="35" t="str">
        <f ca="1">IF(OR(OR($A50="",$B50=""),AND($C50&lt;&gt;"",$D50&lt;&gt;"")),"",VLOOKUP(B50,IF({1,0},INDIRECT("达修波得!$"&amp;$E$1&amp;"$2:$"&amp;$E$1&amp;"$15"),达修波得!$A$2:$A$15),2,FALSE))</f>
        <v/>
      </c>
      <c r="H50" s="35" t="str">
        <f t="shared" ca="1" si="1"/>
        <v/>
      </c>
    </row>
    <row r="51" spans="1:8">
      <c r="A51" t="s">
        <v>85</v>
      </c>
      <c r="B51" t="s">
        <v>60</v>
      </c>
      <c r="F51" s="35" t="str">
        <f ca="1">IF(OR(OR($A51="",$B51=""),AND($C51&lt;&gt;"",$D51&lt;&gt;"")),"",VLOOKUP(A51,IF({1,0},INDIRECT("达修波得!$"&amp;$E$1&amp;"$2:$"&amp;$E$1&amp;"$15"),达修波得!$A$2:$A$15),2,FALSE))</f>
        <v>黑</v>
      </c>
      <c r="G51" s="35" t="str">
        <f ca="1">IF(OR(OR($A51="",$B51=""),AND($C51&lt;&gt;"",$D51&lt;&gt;"")),"",VLOOKUP(B51,IF({1,0},INDIRECT("达修波得!$"&amp;$E$1&amp;"$2:$"&amp;$E$1&amp;"$15"),达修波得!$A$2:$A$15),2,FALSE))</f>
        <v>黑</v>
      </c>
      <c r="H51" s="35" t="str">
        <f t="shared" ca="1" si="1"/>
        <v>黑黑</v>
      </c>
    </row>
    <row r="52" spans="1:8">
      <c r="A52" t="s">
        <v>97</v>
      </c>
      <c r="B52" t="s">
        <v>29</v>
      </c>
      <c r="F52" s="35" t="str">
        <f ca="1">IF(OR(OR($A52="",$B52=""),AND($C52&lt;&gt;"",$D52&lt;&gt;"")),"",VLOOKUP(A52,IF({1,0},INDIRECT("达修波得!$"&amp;$E$1&amp;"$2:$"&amp;$E$1&amp;"$15"),达修波得!$A$2:$A$15),2,FALSE))</f>
        <v>磊</v>
      </c>
      <c r="G52" s="35" t="str">
        <f ca="1">IF(OR(OR($A52="",$B52=""),AND($C52&lt;&gt;"",$D52&lt;&gt;"")),"",VLOOKUP(B52,IF({1,0},INDIRECT("达修波得!$"&amp;$E$1&amp;"$2:$"&amp;$E$1&amp;"$15"),达修波得!$A$2:$A$15),2,FALSE))</f>
        <v>宇</v>
      </c>
      <c r="H52" s="35" t="str">
        <f t="shared" ca="1" si="1"/>
        <v>磊宇</v>
      </c>
    </row>
    <row r="53" spans="1:8">
      <c r="A53" t="s">
        <v>95</v>
      </c>
      <c r="B53" t="s">
        <v>40</v>
      </c>
      <c r="F53" s="35" t="str">
        <f ca="1">IF(OR(OR($A53="",$B53=""),AND($C53&lt;&gt;"",$D53&lt;&gt;"")),"",VLOOKUP(A53,IF({1,0},INDIRECT("达修波得!$"&amp;$E$1&amp;"$2:$"&amp;$E$1&amp;"$15"),达修波得!$A$2:$A$15),2,FALSE))</f>
        <v>贝</v>
      </c>
      <c r="G53" s="35" t="str">
        <f ca="1">IF(OR(OR($A53="",$B53=""),AND($C53&lt;&gt;"",$D53&lt;&gt;"")),"",VLOOKUP(B53,IF({1,0},INDIRECT("达修波得!$"&amp;$E$1&amp;"$2:$"&amp;$E$1&amp;"$15"),达修波得!$A$2:$A$15),2,FALSE))</f>
        <v>二</v>
      </c>
      <c r="H53" s="35" t="str">
        <f t="shared" ca="1" si="1"/>
        <v>贝二</v>
      </c>
    </row>
    <row r="54" spans="1:8">
      <c r="A54" t="s">
        <v>116</v>
      </c>
      <c r="B54" t="s">
        <v>61</v>
      </c>
      <c r="F54" s="35" t="str">
        <f ca="1">IF(OR(OR($A54="",$B54=""),AND($C54&lt;&gt;"",$D54&lt;&gt;"")),"",VLOOKUP(A54,IF({1,0},INDIRECT("达修波得!$"&amp;$E$1&amp;"$2:$"&amp;$E$1&amp;"$15"),达修波得!$A$2:$A$15),2,FALSE))</f>
        <v>贝</v>
      </c>
      <c r="G54" s="35" t="str">
        <f ca="1">IF(OR(OR($A54="",$B54=""),AND($C54&lt;&gt;"",$D54&lt;&gt;"")),"",VLOOKUP(B54,IF({1,0},INDIRECT("达修波得!$"&amp;$E$1&amp;"$2:$"&amp;$E$1&amp;"$15"),达修波得!$A$2:$A$15),2,FALSE))</f>
        <v>爷</v>
      </c>
      <c r="H54" s="35" t="str">
        <f t="shared" ca="1" si="1"/>
        <v>贝爷</v>
      </c>
    </row>
    <row r="55" spans="1:8">
      <c r="A55" s="51" t="s">
        <v>155</v>
      </c>
      <c r="B55" s="51" t="s">
        <v>157</v>
      </c>
      <c r="F55" s="35" t="str">
        <f ca="1">IF(OR(OR($A55="",$B55=""),AND($C55&lt;&gt;"",$D55&lt;&gt;"")),"",VLOOKUP(A55,IF({1,0},INDIRECT("达修波得!$"&amp;$E$1&amp;"$2:$"&amp;$E$1&amp;"$15"),达修波得!$A$2:$A$15),2,FALSE))</f>
        <v>爷</v>
      </c>
      <c r="G55" s="35" t="str">
        <f ca="1">IF(OR(OR($A55="",$B55=""),AND($C55&lt;&gt;"",$D55&lt;&gt;"")),"",VLOOKUP(B55,IF({1,0},INDIRECT("达修波得!$"&amp;$E$1&amp;"$2:$"&amp;$E$1&amp;"$15"),达修波得!$A$2:$A$15),2,FALSE))</f>
        <v>宇</v>
      </c>
      <c r="H55" s="35" t="str">
        <f t="shared" ca="1" si="1"/>
        <v>爷宇</v>
      </c>
    </row>
    <row r="56" spans="1:8">
      <c r="A56" s="51" t="s">
        <v>76</v>
      </c>
      <c r="B56" s="51" t="s">
        <v>119</v>
      </c>
      <c r="F56" s="35" t="str">
        <f ca="1">IF(OR(OR($A56="",$B56=""),AND($C56&lt;&gt;"",$D56&lt;&gt;"")),"",VLOOKUP(A56,IF({1,0},INDIRECT("达修波得!$"&amp;$E$1&amp;"$2:$"&amp;$E$1&amp;"$15"),达修波得!$A$2:$A$15),2,FALSE))</f>
        <v>磊</v>
      </c>
      <c r="G56" s="35" t="str">
        <f ca="1">IF(OR(OR($A56="",$B56=""),AND($C56&lt;&gt;"",$D56&lt;&gt;"")),"",VLOOKUP(B56,IF({1,0},INDIRECT("达修波得!$"&amp;$E$1&amp;"$2:$"&amp;$E$1&amp;"$15"),达修波得!$A$2:$A$15),2,FALSE))</f>
        <v>二</v>
      </c>
      <c r="H56" s="35" t="str">
        <f t="shared" ca="1" si="1"/>
        <v>磊二</v>
      </c>
    </row>
    <row r="57" spans="1:8">
      <c r="A57" s="4" t="s">
        <v>31</v>
      </c>
      <c r="F57" s="35" t="str">
        <f ca="1">IF(OR(OR($A57="",$B57=""),AND($C57&lt;&gt;"",$D57&lt;&gt;"")),"",VLOOKUP(A57,IF({1,0},INDIRECT("达修波得!$"&amp;$E$1&amp;"$2:$"&amp;$E$1&amp;"$15"),达修波得!$A$2:$A$15),2,FALSE))</f>
        <v/>
      </c>
      <c r="G57" s="35" t="str">
        <f ca="1">IF(OR(OR($A57="",$B57=""),AND($C57&lt;&gt;"",$D57&lt;&gt;"")),"",VLOOKUP(B57,IF({1,0},INDIRECT("达修波得!$"&amp;$E$1&amp;"$2:$"&amp;$E$1&amp;"$15"),达修波得!$A$2:$A$15),2,FALSE))</f>
        <v/>
      </c>
      <c r="H57" s="35" t="str">
        <f t="shared" ca="1" si="1"/>
        <v/>
      </c>
    </row>
    <row r="58" spans="1:8">
      <c r="A58" t="s">
        <v>85</v>
      </c>
      <c r="B58" t="s">
        <v>29</v>
      </c>
      <c r="F58" s="35" t="str">
        <f ca="1">IF(OR(OR($A58="",$B58=""),AND($C58&lt;&gt;"",$D58&lt;&gt;"")),"",VLOOKUP(A58,IF({1,0},INDIRECT("达修波得!$"&amp;$E$1&amp;"$2:$"&amp;$E$1&amp;"$15"),达修波得!$A$2:$A$15),2,FALSE))</f>
        <v>黑</v>
      </c>
      <c r="G58" s="35" t="str">
        <f ca="1">IF(OR(OR($A58="",$B58=""),AND($C58&lt;&gt;"",$D58&lt;&gt;"")),"",VLOOKUP(B58,IF({1,0},INDIRECT("达修波得!$"&amp;$E$1&amp;"$2:$"&amp;$E$1&amp;"$15"),达修波得!$A$2:$A$15),2,FALSE))</f>
        <v>宇</v>
      </c>
      <c r="H58" s="35" t="str">
        <f t="shared" ca="1" si="1"/>
        <v>黑宇</v>
      </c>
    </row>
    <row r="59" spans="1:8">
      <c r="A59" t="s">
        <v>60</v>
      </c>
      <c r="B59" t="s">
        <v>40</v>
      </c>
      <c r="F59" s="35" t="str">
        <f ca="1">IF(OR(OR($A59="",$B59=""),AND($C59&lt;&gt;"",$D59&lt;&gt;"")),"",VLOOKUP(A59,IF({1,0},INDIRECT("达修波得!$"&amp;$E$1&amp;"$2:$"&amp;$E$1&amp;"$15"),达修波得!$A$2:$A$15),2,FALSE))</f>
        <v>黑</v>
      </c>
      <c r="G59" s="35" t="str">
        <f ca="1">IF(OR(OR($A59="",$B59=""),AND($C59&lt;&gt;"",$D59&lt;&gt;"")),"",VLOOKUP(B59,IF({1,0},INDIRECT("达修波得!$"&amp;$E$1&amp;"$2:$"&amp;$E$1&amp;"$15"),达修波得!$A$2:$A$15),2,FALSE))</f>
        <v>二</v>
      </c>
      <c r="H59" s="35" t="str">
        <f t="shared" ca="1" si="1"/>
        <v>黑二</v>
      </c>
    </row>
    <row r="60" spans="1:8">
      <c r="A60" t="s">
        <v>97</v>
      </c>
      <c r="B60" t="s">
        <v>61</v>
      </c>
      <c r="F60" s="35" t="str">
        <f ca="1">IF(OR(OR($A60="",$B60=""),AND($C60&lt;&gt;"",$D60&lt;&gt;"")),"",VLOOKUP(A60,IF({1,0},INDIRECT("达修波得!$"&amp;$E$1&amp;"$2:$"&amp;$E$1&amp;"$15"),达修波得!$A$2:$A$15),2,FALSE))</f>
        <v>磊</v>
      </c>
      <c r="G60" s="35" t="str">
        <f ca="1">IF(OR(OR($A60="",$B60=""),AND($C60&lt;&gt;"",$D60&lt;&gt;"")),"",VLOOKUP(B60,IF({1,0},INDIRECT("达修波得!$"&amp;$E$1&amp;"$2:$"&amp;$E$1&amp;"$15"),达修波得!$A$2:$A$15),2,FALSE))</f>
        <v>爷</v>
      </c>
      <c r="H60" s="35" t="str">
        <f t="shared" ca="1" si="1"/>
        <v>磊爷</v>
      </c>
    </row>
    <row r="61" spans="1:8">
      <c r="A61" t="s">
        <v>95</v>
      </c>
      <c r="B61" t="s">
        <v>157</v>
      </c>
      <c r="F61" s="35" t="str">
        <f ca="1">IF(OR(OR($A61="",$B61=""),AND($C61&lt;&gt;"",$D61&lt;&gt;"")),"",VLOOKUP(A61,IF({1,0},INDIRECT("达修波得!$"&amp;$E$1&amp;"$2:$"&amp;$E$1&amp;"$15"),达修波得!$A$2:$A$15),2,FALSE))</f>
        <v>贝</v>
      </c>
      <c r="G61" s="35" t="str">
        <f ca="1">IF(OR(OR($A61="",$B61=""),AND($C61&lt;&gt;"",$D61&lt;&gt;"")),"",VLOOKUP(B61,IF({1,0},INDIRECT("达修波得!$"&amp;$E$1&amp;"$2:$"&amp;$E$1&amp;"$15"),达修波得!$A$2:$A$15),2,FALSE))</f>
        <v>宇</v>
      </c>
      <c r="H61" s="35" t="str">
        <f t="shared" ca="1" si="1"/>
        <v>贝宇</v>
      </c>
    </row>
    <row r="62" spans="1:8">
      <c r="A62" s="51" t="s">
        <v>116</v>
      </c>
      <c r="B62" s="51" t="s">
        <v>119</v>
      </c>
      <c r="F62" s="35" t="str">
        <f ca="1">IF(OR(OR($A62="",$B62=""),AND($C62&lt;&gt;"",$D62&lt;&gt;"")),"",VLOOKUP(A62,IF({1,0},INDIRECT("达修波得!$"&amp;$E$1&amp;"$2:$"&amp;$E$1&amp;"$15"),达修波得!$A$2:$A$15),2,FALSE))</f>
        <v>贝</v>
      </c>
      <c r="G62" s="35" t="str">
        <f ca="1">IF(OR(OR($A62="",$B62=""),AND($C62&lt;&gt;"",$D62&lt;&gt;"")),"",VLOOKUP(B62,IF({1,0},INDIRECT("达修波得!$"&amp;$E$1&amp;"$2:$"&amp;$E$1&amp;"$15"),达修波得!$A$2:$A$15),2,FALSE))</f>
        <v>二</v>
      </c>
      <c r="H62" s="35" t="str">
        <f t="shared" ca="1" si="1"/>
        <v>贝二</v>
      </c>
    </row>
    <row r="63" spans="1:8">
      <c r="A63" s="51" t="s">
        <v>155</v>
      </c>
      <c r="B63" s="51" t="s">
        <v>76</v>
      </c>
      <c r="F63" s="35" t="str">
        <f ca="1">IF(OR(OR($A63="",$B63=""),AND($C63&lt;&gt;"",$D63&lt;&gt;"")),"",VLOOKUP(A63,IF({1,0},INDIRECT("达修波得!$"&amp;$E$1&amp;"$2:$"&amp;$E$1&amp;"$15"),达修波得!$A$2:$A$15),2,FALSE))</f>
        <v>爷</v>
      </c>
      <c r="G63" s="35" t="str">
        <f ca="1">IF(OR(OR($A63="",$B63=""),AND($C63&lt;&gt;"",$D63&lt;&gt;"")),"",VLOOKUP(B63,IF({1,0},INDIRECT("达修波得!$"&amp;$E$1&amp;"$2:$"&amp;$E$1&amp;"$15"),达修波得!$A$2:$A$15),2,FALSE))</f>
        <v>磊</v>
      </c>
      <c r="H63" s="35" t="str">
        <f t="shared" ca="1" si="1"/>
        <v>爷磊</v>
      </c>
    </row>
    <row r="64" spans="1:8">
      <c r="A64" s="4" t="s">
        <v>32</v>
      </c>
      <c r="F64" s="35" t="str">
        <f ca="1">IF(OR(OR($A64="",$B64=""),AND($C64&lt;&gt;"",$D64&lt;&gt;"")),"",VLOOKUP(A64,IF({1,0},INDIRECT("达修波得!$"&amp;$E$1&amp;"$2:$"&amp;$E$1&amp;"$15"),达修波得!$A$2:$A$15),2,FALSE))</f>
        <v/>
      </c>
      <c r="G64" s="35" t="str">
        <f ca="1">IF(OR(OR($A64="",$B64=""),AND($C64&lt;&gt;"",$D64&lt;&gt;"")),"",VLOOKUP(B64,IF({1,0},INDIRECT("达修波得!$"&amp;$E$1&amp;"$2:$"&amp;$E$1&amp;"$15"),达修波得!$A$2:$A$15),2,FALSE))</f>
        <v/>
      </c>
      <c r="H64" s="35" t="str">
        <f t="shared" ca="1" si="1"/>
        <v/>
      </c>
    </row>
    <row r="65" spans="1:8">
      <c r="A65" t="s">
        <v>85</v>
      </c>
      <c r="B65" t="s">
        <v>40</v>
      </c>
      <c r="F65" s="35" t="str">
        <f ca="1">IF(OR(OR($A65="",$B65=""),AND($C65&lt;&gt;"",$D65&lt;&gt;"")),"",VLOOKUP(A65,IF({1,0},INDIRECT("达修波得!$"&amp;$E$1&amp;"$2:$"&amp;$E$1&amp;"$15"),达修波得!$A$2:$A$15),2,FALSE))</f>
        <v>黑</v>
      </c>
      <c r="G65" s="35" t="str">
        <f ca="1">IF(OR(OR($A65="",$B65=""),AND($C65&lt;&gt;"",$D65&lt;&gt;"")),"",VLOOKUP(B65,IF({1,0},INDIRECT("达修波得!$"&amp;$E$1&amp;"$2:$"&amp;$E$1&amp;"$15"),达修波得!$A$2:$A$15),2,FALSE))</f>
        <v>二</v>
      </c>
      <c r="H65" s="35" t="str">
        <f t="shared" ca="1" si="1"/>
        <v>黑二</v>
      </c>
    </row>
    <row r="66" spans="1:8">
      <c r="A66" t="s">
        <v>29</v>
      </c>
      <c r="B66" t="s">
        <v>61</v>
      </c>
      <c r="F66" s="35" t="str">
        <f ca="1">IF(OR(OR($A66="",$B66=""),AND($C66&lt;&gt;"",$D66&lt;&gt;"")),"",VLOOKUP(A66,IF({1,0},INDIRECT("达修波得!$"&amp;$E$1&amp;"$2:$"&amp;$E$1&amp;"$15"),达修波得!$A$2:$A$15),2,FALSE))</f>
        <v>宇</v>
      </c>
      <c r="G66" s="35" t="str">
        <f ca="1">IF(OR(OR($A66="",$B66=""),AND($C66&lt;&gt;"",$D66&lt;&gt;"")),"",VLOOKUP(B66,IF({1,0},INDIRECT("达修波得!$"&amp;$E$1&amp;"$2:$"&amp;$E$1&amp;"$15"),达修波得!$A$2:$A$15),2,FALSE))</f>
        <v>爷</v>
      </c>
      <c r="H66" s="35" t="str">
        <f t="shared" ca="1" si="1"/>
        <v>宇爷</v>
      </c>
    </row>
    <row r="67" spans="1:8">
      <c r="A67" t="s">
        <v>60</v>
      </c>
      <c r="B67" t="s">
        <v>157</v>
      </c>
      <c r="F67" s="35" t="str">
        <f ca="1">IF(OR(OR($A67="",$B67=""),AND($C67&lt;&gt;"",$D67&lt;&gt;"")),"",VLOOKUP(A67,IF({1,0},INDIRECT("达修波得!$"&amp;$E$1&amp;"$2:$"&amp;$E$1&amp;"$15"),达修波得!$A$2:$A$15),2,FALSE))</f>
        <v>黑</v>
      </c>
      <c r="G67" s="35" t="str">
        <f ca="1">IF(OR(OR($A67="",$B67=""),AND($C67&lt;&gt;"",$D67&lt;&gt;"")),"",VLOOKUP(B67,IF({1,0},INDIRECT("达修波得!$"&amp;$E$1&amp;"$2:$"&amp;$E$1&amp;"$15"),达修波得!$A$2:$A$15),2,FALSE))</f>
        <v>宇</v>
      </c>
      <c r="H67" s="35" t="str">
        <f t="shared" ref="H67:H72" ca="1" si="2">F67&amp;G67</f>
        <v>黑宇</v>
      </c>
    </row>
    <row r="68" spans="1:8">
      <c r="A68" t="s">
        <v>97</v>
      </c>
      <c r="B68" t="s">
        <v>119</v>
      </c>
      <c r="F68" s="35" t="str">
        <f ca="1">IF(OR(OR($A68="",$B68=""),AND($C68&lt;&gt;"",$D68&lt;&gt;"")),"",VLOOKUP(A68,IF({1,0},INDIRECT("达修波得!$"&amp;$E$1&amp;"$2:$"&amp;$E$1&amp;"$15"),达修波得!$A$2:$A$15),2,FALSE))</f>
        <v>磊</v>
      </c>
      <c r="G68" s="35" t="str">
        <f ca="1">IF(OR(OR($A68="",$B68=""),AND($C68&lt;&gt;"",$D68&lt;&gt;"")),"",VLOOKUP(B68,IF({1,0},INDIRECT("达修波得!$"&amp;$E$1&amp;"$2:$"&amp;$E$1&amp;"$15"),达修波得!$A$2:$A$15),2,FALSE))</f>
        <v>二</v>
      </c>
      <c r="H68" s="35" t="str">
        <f t="shared" ca="1" si="2"/>
        <v>磊二</v>
      </c>
    </row>
    <row r="69" spans="1:8">
      <c r="A69" s="51" t="s">
        <v>95</v>
      </c>
      <c r="B69" s="51" t="s">
        <v>76</v>
      </c>
      <c r="F69" s="35" t="str">
        <f ca="1">IF(OR(OR($A69="",$B69=""),AND($C69&lt;&gt;"",$D69&lt;&gt;"")),"",VLOOKUP(A69,IF({1,0},INDIRECT("达修波得!$"&amp;$E$1&amp;"$2:$"&amp;$E$1&amp;"$15"),达修波得!$A$2:$A$15),2,FALSE))</f>
        <v>贝</v>
      </c>
      <c r="G69" s="35" t="str">
        <f ca="1">IF(OR(OR($A69="",$B69=""),AND($C69&lt;&gt;"",$D69&lt;&gt;"")),"",VLOOKUP(B69,IF({1,0},INDIRECT("达修波得!$"&amp;$E$1&amp;"$2:$"&amp;$E$1&amp;"$15"),达修波得!$A$2:$A$15),2,FALSE))</f>
        <v>磊</v>
      </c>
      <c r="H69" s="35" t="str">
        <f t="shared" ca="1" si="2"/>
        <v>贝磊</v>
      </c>
    </row>
    <row r="70" spans="1:8">
      <c r="A70" s="51" t="s">
        <v>116</v>
      </c>
      <c r="B70" s="51" t="s">
        <v>155</v>
      </c>
      <c r="F70" s="35" t="str">
        <f ca="1">IF(OR(OR($A70="",$B70=""),AND($C70&lt;&gt;"",$D70&lt;&gt;"")),"",VLOOKUP(A70,IF({1,0},INDIRECT("达修波得!$"&amp;$E$1&amp;"$2:$"&amp;$E$1&amp;"$15"),达修波得!$A$2:$A$15),2,FALSE))</f>
        <v>贝</v>
      </c>
      <c r="G70" s="35" t="str">
        <f ca="1">IF(OR(OR($A70="",$B70=""),AND($C70&lt;&gt;"",$D70&lt;&gt;"")),"",VLOOKUP(B70,IF({1,0},INDIRECT("达修波得!$"&amp;$E$1&amp;"$2:$"&amp;$E$1&amp;"$15"),达修波得!$A$2:$A$15),2,FALSE))</f>
        <v>爷</v>
      </c>
      <c r="H70" s="35" t="str">
        <f t="shared" ca="1" si="2"/>
        <v>贝爷</v>
      </c>
    </row>
    <row r="71" spans="1:8">
      <c r="A71" s="4" t="s">
        <v>33</v>
      </c>
      <c r="F71" s="35" t="str">
        <f ca="1">IF(OR(OR($A71="",$B71=""),AND($C71&lt;&gt;"",$D71&lt;&gt;"")),"",VLOOKUP(A71,IF({1,0},INDIRECT("达修波得!$"&amp;$E$1&amp;"$2:$"&amp;$E$1&amp;"$15"),达修波得!$A$2:$A$15),2,FALSE))</f>
        <v/>
      </c>
      <c r="G71" s="35" t="str">
        <f ca="1">IF(OR(OR($A71="",$B71=""),AND($C71&lt;&gt;"",$D71&lt;&gt;"")),"",VLOOKUP(B71,IF({1,0},INDIRECT("达修波得!$"&amp;$E$1&amp;"$2:$"&amp;$E$1&amp;"$15"),达修波得!$A$2:$A$15),2,FALSE))</f>
        <v/>
      </c>
      <c r="H71" s="35" t="str">
        <f t="shared" ca="1" si="2"/>
        <v/>
      </c>
    </row>
    <row r="72" spans="1:8">
      <c r="A72" t="s">
        <v>85</v>
      </c>
      <c r="B72" t="s">
        <v>61</v>
      </c>
      <c r="F72" s="35" t="str">
        <f ca="1">IF(OR(OR($A72="",$B72=""),AND($C72&lt;&gt;"",$D72&lt;&gt;"")),"",VLOOKUP(A72,IF({1,0},INDIRECT("达修波得!$"&amp;$E$1&amp;"$2:$"&amp;$E$1&amp;"$15"),达修波得!$A$2:$A$15),2,FALSE))</f>
        <v>黑</v>
      </c>
      <c r="G72" s="35" t="str">
        <f ca="1">IF(OR(OR($A72="",$B72=""),AND($C72&lt;&gt;"",$D72&lt;&gt;"")),"",VLOOKUP(B72,IF({1,0},INDIRECT("达修波得!$"&amp;$E$1&amp;"$2:$"&amp;$E$1&amp;"$15"),达修波得!$A$2:$A$15),2,FALSE))</f>
        <v>爷</v>
      </c>
      <c r="H72" s="35" t="str">
        <f t="shared" ca="1" si="2"/>
        <v>黑爷</v>
      </c>
    </row>
    <row r="73" spans="1:8">
      <c r="A73" t="s">
        <v>40</v>
      </c>
      <c r="B73" t="s">
        <v>157</v>
      </c>
      <c r="F73" s="35" t="str">
        <f ca="1">IF(OR(OR($A73="",$B73=""),AND($C73&lt;&gt;"",$D73&lt;&gt;"")),"",VLOOKUP(A73,IF({1,0},INDIRECT("达修波得!$"&amp;$E$1&amp;"$2:$"&amp;$E$1&amp;"$15"),达修波得!$A$2:$A$15),2,FALSE))</f>
        <v>二</v>
      </c>
      <c r="G73" s="35" t="str">
        <f ca="1">IF(OR(OR($A73="",$B73=""),AND($C73&lt;&gt;"",$D73&lt;&gt;"")),"",VLOOKUP(B73,IF({1,0},INDIRECT("达修波得!$"&amp;$E$1&amp;"$2:$"&amp;$E$1&amp;"$15"),达修波得!$A$2:$A$15),2,FALSE))</f>
        <v>宇</v>
      </c>
      <c r="H73" s="35" t="str">
        <f t="shared" ref="H73:H85" ca="1" si="3">F73&amp;G73</f>
        <v>二宇</v>
      </c>
    </row>
    <row r="74" spans="1:8">
      <c r="A74" t="s">
        <v>29</v>
      </c>
      <c r="B74" t="s">
        <v>119</v>
      </c>
      <c r="F74" s="35" t="str">
        <f ca="1">IF(OR(OR($A74="",$B74=""),AND($C74&lt;&gt;"",$D74&lt;&gt;"")),"",VLOOKUP(A74,IF({1,0},INDIRECT("达修波得!$"&amp;$E$1&amp;"$2:$"&amp;$E$1&amp;"$15"),达修波得!$A$2:$A$15),2,FALSE))</f>
        <v>宇</v>
      </c>
      <c r="G74" s="35" t="str">
        <f ca="1">IF(OR(OR($A74="",$B74=""),AND($C74&lt;&gt;"",$D74&lt;&gt;"")),"",VLOOKUP(B74,IF({1,0},INDIRECT("达修波得!$"&amp;$E$1&amp;"$2:$"&amp;$E$1&amp;"$15"),达修波得!$A$2:$A$15),2,FALSE))</f>
        <v>二</v>
      </c>
      <c r="H74" s="35" t="str">
        <f t="shared" ca="1" si="3"/>
        <v>宇二</v>
      </c>
    </row>
    <row r="75" spans="1:8">
      <c r="A75" t="s">
        <v>60</v>
      </c>
      <c r="B75" t="s">
        <v>76</v>
      </c>
      <c r="F75" s="35" t="str">
        <f ca="1">IF(OR(OR($A75="",$B75=""),AND($C75&lt;&gt;"",$D75&lt;&gt;"")),"",VLOOKUP(A75,IF({1,0},INDIRECT("达修波得!$"&amp;$E$1&amp;"$2:$"&amp;$E$1&amp;"$15"),达修波得!$A$2:$A$15),2,FALSE))</f>
        <v>黑</v>
      </c>
      <c r="G75" s="35" t="str">
        <f ca="1">IF(OR(OR($A75="",$B75=""),AND($C75&lt;&gt;"",$D75&lt;&gt;"")),"",VLOOKUP(B75,IF({1,0},INDIRECT("达修波得!$"&amp;$E$1&amp;"$2:$"&amp;$E$1&amp;"$15"),达修波得!$A$2:$A$15),2,FALSE))</f>
        <v>磊</v>
      </c>
      <c r="H75" s="35" t="str">
        <f t="shared" ca="1" si="3"/>
        <v>黑磊</v>
      </c>
    </row>
    <row r="76" spans="1:8">
      <c r="A76" s="51" t="s">
        <v>97</v>
      </c>
      <c r="B76" s="51" t="s">
        <v>155</v>
      </c>
      <c r="F76" s="35" t="str">
        <f ca="1">IF(OR(OR($A76="",$B76=""),AND($C76&lt;&gt;"",$D76&lt;&gt;"")),"",VLOOKUP(A76,IF({1,0},INDIRECT("达修波得!$"&amp;$E$1&amp;"$2:$"&amp;$E$1&amp;"$15"),达修波得!$A$2:$A$15),2,FALSE))</f>
        <v>磊</v>
      </c>
      <c r="G76" s="35" t="str">
        <f ca="1">IF(OR(OR($A76="",$B76=""),AND($C76&lt;&gt;"",$D76&lt;&gt;"")),"",VLOOKUP(B76,IF({1,0},INDIRECT("达修波得!$"&amp;$E$1&amp;"$2:$"&amp;$E$1&amp;"$15"),达修波得!$A$2:$A$15),2,FALSE))</f>
        <v>爷</v>
      </c>
      <c r="H76" s="35" t="str">
        <f t="shared" ca="1" si="3"/>
        <v>磊爷</v>
      </c>
    </row>
    <row r="77" spans="1:8">
      <c r="A77" s="51" t="s">
        <v>95</v>
      </c>
      <c r="B77" s="51" t="s">
        <v>116</v>
      </c>
      <c r="F77" s="35" t="str">
        <f ca="1">IF(OR(OR($A77="",$B77=""),AND($C77&lt;&gt;"",$D77&lt;&gt;"")),"",VLOOKUP(A77,IF({1,0},INDIRECT("达修波得!$"&amp;$E$1&amp;"$2:$"&amp;$E$1&amp;"$15"),达修波得!$A$2:$A$15),2,FALSE))</f>
        <v>贝</v>
      </c>
      <c r="G77" s="35" t="str">
        <f ca="1">IF(OR(OR($A77="",$B77=""),AND($C77&lt;&gt;"",$D77&lt;&gt;"")),"",VLOOKUP(B77,IF({1,0},INDIRECT("达修波得!$"&amp;$E$1&amp;"$2:$"&amp;$E$1&amp;"$15"),达修波得!$A$2:$A$15),2,FALSE))</f>
        <v>贝</v>
      </c>
      <c r="H77" s="35" t="str">
        <f t="shared" ca="1" si="3"/>
        <v>贝贝</v>
      </c>
    </row>
    <row r="78" spans="1:8">
      <c r="A78" s="4" t="s">
        <v>34</v>
      </c>
      <c r="F78" s="35" t="str">
        <f ca="1">IF(OR(OR($A78="",$B78=""),AND($C78&lt;&gt;"",$D78&lt;&gt;"")),"",VLOOKUP(A78,IF({1,0},INDIRECT("达修波得!$"&amp;$E$1&amp;"$2:$"&amp;$E$1&amp;"$15"),达修波得!$A$2:$A$15),2,FALSE))</f>
        <v/>
      </c>
      <c r="G78" s="35" t="str">
        <f ca="1">IF(OR(OR($A78="",$B78=""),AND($C78&lt;&gt;"",$D78&lt;&gt;"")),"",VLOOKUP(B78,IF({1,0},INDIRECT("达修波得!$"&amp;$E$1&amp;"$2:$"&amp;$E$1&amp;"$15"),达修波得!$A$2:$A$15),2,FALSE))</f>
        <v/>
      </c>
      <c r="H78" s="35" t="str">
        <f t="shared" ca="1" si="3"/>
        <v/>
      </c>
    </row>
    <row r="79" spans="1:8">
      <c r="A79" t="s">
        <v>157</v>
      </c>
      <c r="B79" t="s">
        <v>85</v>
      </c>
      <c r="F79" s="35" t="str">
        <f ca="1">IF(OR(OR($A79="",$B79=""),AND($C79&lt;&gt;"",$D79&lt;&gt;"")),"",VLOOKUP(A79,IF({1,0},INDIRECT("达修波得!$"&amp;$E$1&amp;"$2:$"&amp;$E$1&amp;"$15"),达修波得!$A$2:$A$15),2,FALSE))</f>
        <v>宇</v>
      </c>
      <c r="G79" s="35" t="str">
        <f ca="1">IF(OR(OR($A79="",$B79=""),AND($C79&lt;&gt;"",$D79&lt;&gt;"")),"",VLOOKUP(B79,IF({1,0},INDIRECT("达修波得!$"&amp;$E$1&amp;"$2:$"&amp;$E$1&amp;"$15"),达修波得!$A$2:$A$15),2,FALSE))</f>
        <v>黑</v>
      </c>
      <c r="H79" s="35" t="str">
        <f t="shared" ca="1" si="3"/>
        <v>宇黑</v>
      </c>
    </row>
    <row r="80" spans="1:8">
      <c r="A80" t="s">
        <v>119</v>
      </c>
      <c r="B80" t="s">
        <v>61</v>
      </c>
      <c r="F80" s="35" t="str">
        <f ca="1">IF(OR(OR($A80="",$B80=""),AND($C80&lt;&gt;"",$D80&lt;&gt;"")),"",VLOOKUP(A80,IF({1,0},INDIRECT("达修波得!$"&amp;$E$1&amp;"$2:$"&amp;$E$1&amp;"$15"),达修波得!$A$2:$A$15),2,FALSE))</f>
        <v>二</v>
      </c>
      <c r="G80" s="35" t="str">
        <f ca="1">IF(OR(OR($A80="",$B80=""),AND($C80&lt;&gt;"",$D80&lt;&gt;"")),"",VLOOKUP(B80,IF({1,0},INDIRECT("达修波得!$"&amp;$E$1&amp;"$2:$"&amp;$E$1&amp;"$15"),达修波得!$A$2:$A$15),2,FALSE))</f>
        <v>爷</v>
      </c>
      <c r="H80" s="35" t="str">
        <f t="shared" ca="1" si="3"/>
        <v>二爷</v>
      </c>
    </row>
    <row r="81" spans="1:8">
      <c r="A81" t="s">
        <v>76</v>
      </c>
      <c r="B81" t="s">
        <v>40</v>
      </c>
      <c r="F81" s="35" t="str">
        <f ca="1">IF(OR(OR($A81="",$B81=""),AND($C81&lt;&gt;"",$D81&lt;&gt;"")),"",VLOOKUP(A81,IF({1,0},INDIRECT("达修波得!$"&amp;$E$1&amp;"$2:$"&amp;$E$1&amp;"$15"),达修波得!$A$2:$A$15),2,FALSE))</f>
        <v>磊</v>
      </c>
      <c r="G81" s="35" t="str">
        <f ca="1">IF(OR(OR($A81="",$B81=""),AND($C81&lt;&gt;"",$D81&lt;&gt;"")),"",VLOOKUP(B81,IF({1,0},INDIRECT("达修波得!$"&amp;$E$1&amp;"$2:$"&amp;$E$1&amp;"$15"),达修波得!$A$2:$A$15),2,FALSE))</f>
        <v>二</v>
      </c>
      <c r="H81" s="35" t="str">
        <f t="shared" ca="1" si="3"/>
        <v>磊二</v>
      </c>
    </row>
    <row r="82" spans="1:8">
      <c r="A82" t="s">
        <v>155</v>
      </c>
      <c r="B82" t="s">
        <v>29</v>
      </c>
      <c r="F82" s="35" t="str">
        <f ca="1">IF(OR(OR($A82="",$B82=""),AND($C82&lt;&gt;"",$D82&lt;&gt;"")),"",VLOOKUP(A82,IF({1,0},INDIRECT("达修波得!$"&amp;$E$1&amp;"$2:$"&amp;$E$1&amp;"$15"),达修波得!$A$2:$A$15),2,FALSE))</f>
        <v>爷</v>
      </c>
      <c r="G82" s="35" t="str">
        <f ca="1">IF(OR(OR($A82="",$B82=""),AND($C82&lt;&gt;"",$D82&lt;&gt;"")),"",VLOOKUP(B82,IF({1,0},INDIRECT("达修波得!$"&amp;$E$1&amp;"$2:$"&amp;$E$1&amp;"$15"),达修波得!$A$2:$A$15),2,FALSE))</f>
        <v>宇</v>
      </c>
      <c r="H82" s="35" t="str">
        <f t="shared" ca="1" si="3"/>
        <v>爷宇</v>
      </c>
    </row>
    <row r="83" spans="1:8">
      <c r="A83" s="51" t="s">
        <v>116</v>
      </c>
      <c r="B83" s="51" t="s">
        <v>60</v>
      </c>
      <c r="F83" s="35" t="str">
        <f ca="1">IF(OR(OR($A83="",$B83=""),AND($C83&lt;&gt;"",$D83&lt;&gt;"")),"",VLOOKUP(A83,IF({1,0},INDIRECT("达修波得!$"&amp;$E$1&amp;"$2:$"&amp;$E$1&amp;"$15"),达修波得!$A$2:$A$15),2,FALSE))</f>
        <v>贝</v>
      </c>
      <c r="G83" s="35" t="str">
        <f ca="1">IF(OR(OR($A83="",$B83=""),AND($C83&lt;&gt;"",$D83&lt;&gt;"")),"",VLOOKUP(B83,IF({1,0},INDIRECT("达修波得!$"&amp;$E$1&amp;"$2:$"&amp;$E$1&amp;"$15"),达修波得!$A$2:$A$15),2,FALSE))</f>
        <v>黑</v>
      </c>
      <c r="H83" s="35" t="str">
        <f t="shared" ca="1" si="3"/>
        <v>贝黑</v>
      </c>
    </row>
    <row r="84" spans="1:8">
      <c r="A84" s="51" t="s">
        <v>95</v>
      </c>
      <c r="B84" s="51" t="s">
        <v>97</v>
      </c>
      <c r="F84" s="35" t="str">
        <f ca="1">IF(OR(OR($A84="",$B84=""),AND($C84&lt;&gt;"",$D84&lt;&gt;"")),"",VLOOKUP(A84,IF({1,0},INDIRECT("达修波得!$"&amp;$E$1&amp;"$2:$"&amp;$E$1&amp;"$15"),达修波得!$A$2:$A$15),2,FALSE))</f>
        <v>贝</v>
      </c>
      <c r="G84" s="35" t="str">
        <f ca="1">IF(OR(OR($A84="",$B84=""),AND($C84&lt;&gt;"",$D84&lt;&gt;"")),"",VLOOKUP(B84,IF({1,0},INDIRECT("达修波得!$"&amp;$E$1&amp;"$2:$"&amp;$E$1&amp;"$15"),达修波得!$A$2:$A$15),2,FALSE))</f>
        <v>磊</v>
      </c>
      <c r="H84" s="35" t="str">
        <f t="shared" ca="1" si="3"/>
        <v>贝磊</v>
      </c>
    </row>
    <row r="85" spans="1:8">
      <c r="A85" s="4" t="s">
        <v>35</v>
      </c>
      <c r="F85" s="35" t="str">
        <f ca="1">IF(OR(OR($A85="",$B85=""),AND($C85&lt;&gt;"",$D85&lt;&gt;"")),"",VLOOKUP(A85,IF({1,0},INDIRECT("达修波得!$"&amp;$E$1&amp;"$2:$"&amp;$E$1&amp;"$15"),达修波得!$A$2:$A$15),2,FALSE))</f>
        <v/>
      </c>
      <c r="G85" s="35" t="str">
        <f ca="1">IF(OR(OR($A85="",$B85=""),AND($C85&lt;&gt;"",$D85&lt;&gt;"")),"",VLOOKUP(B85,IF({1,0},INDIRECT("达修波得!$"&amp;$E$1&amp;"$2:$"&amp;$E$1&amp;"$15"),达修波得!$A$2:$A$15),2,FALSE))</f>
        <v/>
      </c>
      <c r="H85" s="35" t="str">
        <f t="shared" ca="1" si="3"/>
        <v/>
      </c>
    </row>
    <row r="86" spans="1:8">
      <c r="A86" t="s">
        <v>119</v>
      </c>
      <c r="B86" t="s">
        <v>85</v>
      </c>
      <c r="F86" s="35" t="str">
        <f ca="1">IF(OR(OR($A86="",$B86=""),AND($C86&lt;&gt;"",$D86&lt;&gt;"")),"",VLOOKUP(A86,IF({1,0},INDIRECT("达修波得!$"&amp;$E$1&amp;"$2:$"&amp;$E$1&amp;"$15"),达修波得!$A$2:$A$15),2,FALSE))</f>
        <v>二</v>
      </c>
      <c r="G86" s="35" t="str">
        <f ca="1">IF(OR(OR($A86="",$B86=""),AND($C86&lt;&gt;"",$D86&lt;&gt;"")),"",VLOOKUP(B86,IF({1,0},INDIRECT("达修波得!$"&amp;$E$1&amp;"$2:$"&amp;$E$1&amp;"$15"),达修波得!$A$2:$A$15),2,FALSE))</f>
        <v>黑</v>
      </c>
      <c r="H86" s="35" t="str">
        <f t="shared" ref="H86:H149" ca="1" si="4">F86&amp;G86</f>
        <v>二黑</v>
      </c>
    </row>
    <row r="87" spans="1:8">
      <c r="A87" t="s">
        <v>76</v>
      </c>
      <c r="B87" t="s">
        <v>157</v>
      </c>
      <c r="F87" s="35" t="str">
        <f ca="1">IF(OR(OR($A87="",$B87=""),AND($C87&lt;&gt;"",$D87&lt;&gt;"")),"",VLOOKUP(A87,IF({1,0},INDIRECT("达修波得!$"&amp;$E$1&amp;"$2:$"&amp;$E$1&amp;"$15"),达修波得!$A$2:$A$15),2,FALSE))</f>
        <v>磊</v>
      </c>
      <c r="G87" s="35" t="str">
        <f ca="1">IF(OR(OR($A87="",$B87=""),AND($C87&lt;&gt;"",$D87&lt;&gt;"")),"",VLOOKUP(B87,IF({1,0},INDIRECT("达修波得!$"&amp;$E$1&amp;"$2:$"&amp;$E$1&amp;"$15"),达修波得!$A$2:$A$15),2,FALSE))</f>
        <v>宇</v>
      </c>
      <c r="H87" s="35" t="str">
        <f t="shared" ca="1" si="4"/>
        <v>磊宇</v>
      </c>
    </row>
    <row r="88" spans="1:8">
      <c r="A88" t="s">
        <v>155</v>
      </c>
      <c r="B88" t="s">
        <v>61</v>
      </c>
      <c r="F88" s="35" t="str">
        <f ca="1">IF(OR(OR($A88="",$B88=""),AND($C88&lt;&gt;"",$D88&lt;&gt;"")),"",VLOOKUP(A88,IF({1,0},INDIRECT("达修波得!$"&amp;$E$1&amp;"$2:$"&amp;$E$1&amp;"$15"),达修波得!$A$2:$A$15),2,FALSE))</f>
        <v>爷</v>
      </c>
      <c r="G88" s="35" t="str">
        <f ca="1">IF(OR(OR($A88="",$B88=""),AND($C88&lt;&gt;"",$D88&lt;&gt;"")),"",VLOOKUP(B88,IF({1,0},INDIRECT("达修波得!$"&amp;$E$1&amp;"$2:$"&amp;$E$1&amp;"$15"),达修波得!$A$2:$A$15),2,FALSE))</f>
        <v>爷</v>
      </c>
      <c r="H88" s="35" t="str">
        <f t="shared" ca="1" si="4"/>
        <v>爷爷</v>
      </c>
    </row>
    <row r="89" spans="1:8">
      <c r="A89" t="s">
        <v>116</v>
      </c>
      <c r="B89" t="s">
        <v>40</v>
      </c>
      <c r="F89" s="35" t="str">
        <f ca="1">IF(OR(OR($A89="",$B89=""),AND($C89&lt;&gt;"",$D89&lt;&gt;"")),"",VLOOKUP(A89,IF({1,0},INDIRECT("达修波得!$"&amp;$E$1&amp;"$2:$"&amp;$E$1&amp;"$15"),达修波得!$A$2:$A$15),2,FALSE))</f>
        <v>贝</v>
      </c>
      <c r="G89" s="35" t="str">
        <f ca="1">IF(OR(OR($A89="",$B89=""),AND($C89&lt;&gt;"",$D89&lt;&gt;"")),"",VLOOKUP(B89,IF({1,0},INDIRECT("达修波得!$"&amp;$E$1&amp;"$2:$"&amp;$E$1&amp;"$15"),达修波得!$A$2:$A$15),2,FALSE))</f>
        <v>二</v>
      </c>
      <c r="H89" s="35" t="str">
        <f t="shared" ca="1" si="4"/>
        <v>贝二</v>
      </c>
    </row>
    <row r="90" spans="1:8">
      <c r="A90" s="51" t="s">
        <v>95</v>
      </c>
      <c r="B90" s="51" t="s">
        <v>29</v>
      </c>
      <c r="F90" s="35" t="str">
        <f ca="1">IF(OR(OR($A90="",$B90=""),AND($C90&lt;&gt;"",$D90&lt;&gt;"")),"",VLOOKUP(A90,IF({1,0},INDIRECT("达修波得!$"&amp;$E$1&amp;"$2:$"&amp;$E$1&amp;"$15"),达修波得!$A$2:$A$15),2,FALSE))</f>
        <v>贝</v>
      </c>
      <c r="G90" s="35" t="str">
        <f ca="1">IF(OR(OR($A90="",$B90=""),AND($C90&lt;&gt;"",$D90&lt;&gt;"")),"",VLOOKUP(B90,IF({1,0},INDIRECT("达修波得!$"&amp;$E$1&amp;"$2:$"&amp;$E$1&amp;"$15"),达修波得!$A$2:$A$15),2,FALSE))</f>
        <v>宇</v>
      </c>
      <c r="H90" s="35" t="str">
        <f t="shared" ca="1" si="4"/>
        <v>贝宇</v>
      </c>
    </row>
    <row r="91" spans="1:8">
      <c r="A91" s="51" t="s">
        <v>97</v>
      </c>
      <c r="B91" s="51" t="s">
        <v>60</v>
      </c>
      <c r="F91" s="35" t="str">
        <f ca="1">IF(OR(OR($A91="",$B91=""),AND($C91&lt;&gt;"",$D91&lt;&gt;"")),"",VLOOKUP(A91,IF({1,0},INDIRECT("达修波得!$"&amp;$E$1&amp;"$2:$"&amp;$E$1&amp;"$15"),达修波得!$A$2:$A$15),2,FALSE))</f>
        <v>磊</v>
      </c>
      <c r="G91" s="35" t="str">
        <f ca="1">IF(OR(OR($A91="",$B91=""),AND($C91&lt;&gt;"",$D91&lt;&gt;"")),"",VLOOKUP(B91,IF({1,0},INDIRECT("达修波得!$"&amp;$E$1&amp;"$2:$"&amp;$E$1&amp;"$15"),达修波得!$A$2:$A$15),2,FALSE))</f>
        <v>黑</v>
      </c>
      <c r="H91" s="35" t="str">
        <f t="shared" ca="1" si="4"/>
        <v>磊黑</v>
      </c>
    </row>
    <row r="92" spans="1:8">
      <c r="A92" s="4" t="s">
        <v>36</v>
      </c>
      <c r="F92" s="35" t="str">
        <f ca="1">IF(OR(OR($A92="",$B92=""),AND($C92&lt;&gt;"",$D92&lt;&gt;"")),"",VLOOKUP(A92,IF({1,0},INDIRECT("达修波得!$"&amp;$E$1&amp;"$2:$"&amp;$E$1&amp;"$15"),达修波得!$A$2:$A$15),2,FALSE))</f>
        <v/>
      </c>
      <c r="G92" s="35" t="str">
        <f ca="1">IF(OR(OR($A92="",$B92=""),AND($C92&lt;&gt;"",$D92&lt;&gt;"")),"",VLOOKUP(B92,IF({1,0},INDIRECT("达修波得!$"&amp;$E$1&amp;"$2:$"&amp;$E$1&amp;"$15"),达修波得!$A$2:$A$15),2,FALSE))</f>
        <v/>
      </c>
      <c r="H92" s="35" t="str">
        <f t="shared" ca="1" si="4"/>
        <v/>
      </c>
    </row>
    <row r="93" spans="1:8">
      <c r="A93" t="s">
        <v>76</v>
      </c>
      <c r="B93" t="s">
        <v>85</v>
      </c>
      <c r="F93" s="35" t="str">
        <f ca="1">IF(OR(OR($A93="",$B93=""),AND($C93&lt;&gt;"",$D93&lt;&gt;"")),"",VLOOKUP(A93,IF({1,0},INDIRECT("达修波得!$"&amp;$E$1&amp;"$2:$"&amp;$E$1&amp;"$15"),达修波得!$A$2:$A$15),2,FALSE))</f>
        <v>磊</v>
      </c>
      <c r="G93" s="35" t="str">
        <f ca="1">IF(OR(OR($A93="",$B93=""),AND($C93&lt;&gt;"",$D93&lt;&gt;"")),"",VLOOKUP(B93,IF({1,0},INDIRECT("达修波得!$"&amp;$E$1&amp;"$2:$"&amp;$E$1&amp;"$15"),达修波得!$A$2:$A$15),2,FALSE))</f>
        <v>黑</v>
      </c>
      <c r="H93" s="35" t="str">
        <f t="shared" ca="1" si="4"/>
        <v>磊黑</v>
      </c>
    </row>
    <row r="94" spans="1:8">
      <c r="A94" t="s">
        <v>155</v>
      </c>
      <c r="B94" t="s">
        <v>119</v>
      </c>
      <c r="F94" s="35" t="str">
        <f ca="1">IF(OR(OR($A94="",$B94=""),AND($C94&lt;&gt;"",$D94&lt;&gt;"")),"",VLOOKUP(A94,IF({1,0},INDIRECT("达修波得!$"&amp;$E$1&amp;"$2:$"&amp;$E$1&amp;"$15"),达修波得!$A$2:$A$15),2,FALSE))</f>
        <v>爷</v>
      </c>
      <c r="G94" s="35" t="str">
        <f ca="1">IF(OR(OR($A94="",$B94=""),AND($C94&lt;&gt;"",$D94&lt;&gt;"")),"",VLOOKUP(B94,IF({1,0},INDIRECT("达修波得!$"&amp;$E$1&amp;"$2:$"&amp;$E$1&amp;"$15"),达修波得!$A$2:$A$15),2,FALSE))</f>
        <v>二</v>
      </c>
      <c r="H94" s="35" t="str">
        <f t="shared" ca="1" si="4"/>
        <v>爷二</v>
      </c>
    </row>
    <row r="95" spans="1:8">
      <c r="A95" t="s">
        <v>116</v>
      </c>
      <c r="B95" t="s">
        <v>157</v>
      </c>
      <c r="F95" s="35" t="str">
        <f ca="1">IF(OR(OR($A95="",$B95=""),AND($C95&lt;&gt;"",$D95&lt;&gt;"")),"",VLOOKUP(A95,IF({1,0},INDIRECT("达修波得!$"&amp;$E$1&amp;"$2:$"&amp;$E$1&amp;"$15"),达修波得!$A$2:$A$15),2,FALSE))</f>
        <v>贝</v>
      </c>
      <c r="G95" s="35" t="str">
        <f ca="1">IF(OR(OR($A95="",$B95=""),AND($C95&lt;&gt;"",$D95&lt;&gt;"")),"",VLOOKUP(B95,IF({1,0},INDIRECT("达修波得!$"&amp;$E$1&amp;"$2:$"&amp;$E$1&amp;"$15"),达修波得!$A$2:$A$15),2,FALSE))</f>
        <v>宇</v>
      </c>
      <c r="H95" s="35" t="str">
        <f t="shared" ca="1" si="4"/>
        <v>贝宇</v>
      </c>
    </row>
    <row r="96" spans="1:8">
      <c r="A96" t="s">
        <v>95</v>
      </c>
      <c r="B96" t="s">
        <v>61</v>
      </c>
      <c r="F96" s="35" t="str">
        <f ca="1">IF(OR(OR($A96="",$B96=""),AND($C96&lt;&gt;"",$D96&lt;&gt;"")),"",VLOOKUP(A96,IF({1,0},INDIRECT("达修波得!$"&amp;$E$1&amp;"$2:$"&amp;$E$1&amp;"$15"),达修波得!$A$2:$A$15),2,FALSE))</f>
        <v>贝</v>
      </c>
      <c r="G96" s="35" t="str">
        <f ca="1">IF(OR(OR($A96="",$B96=""),AND($C96&lt;&gt;"",$D96&lt;&gt;"")),"",VLOOKUP(B96,IF({1,0},INDIRECT("达修波得!$"&amp;$E$1&amp;"$2:$"&amp;$E$1&amp;"$15"),达修波得!$A$2:$A$15),2,FALSE))</f>
        <v>爷</v>
      </c>
      <c r="H96" s="35" t="str">
        <f t="shared" ca="1" si="4"/>
        <v>贝爷</v>
      </c>
    </row>
    <row r="97" spans="1:8">
      <c r="A97" s="51" t="s">
        <v>97</v>
      </c>
      <c r="B97" s="51" t="s">
        <v>40</v>
      </c>
      <c r="F97" s="35" t="str">
        <f ca="1">IF(OR(OR($A97="",$B97=""),AND($C97&lt;&gt;"",$D97&lt;&gt;"")),"",VLOOKUP(A97,IF({1,0},INDIRECT("达修波得!$"&amp;$E$1&amp;"$2:$"&amp;$E$1&amp;"$15"),达修波得!$A$2:$A$15),2,FALSE))</f>
        <v>磊</v>
      </c>
      <c r="G97" s="35" t="str">
        <f ca="1">IF(OR(OR($A97="",$B97=""),AND($C97&lt;&gt;"",$D97&lt;&gt;"")),"",VLOOKUP(B97,IF({1,0},INDIRECT("达修波得!$"&amp;$E$1&amp;"$2:$"&amp;$E$1&amp;"$15"),达修波得!$A$2:$A$15),2,FALSE))</f>
        <v>二</v>
      </c>
      <c r="H97" s="35" t="str">
        <f t="shared" ca="1" si="4"/>
        <v>磊二</v>
      </c>
    </row>
    <row r="98" spans="1:8">
      <c r="A98" s="51" t="s">
        <v>60</v>
      </c>
      <c r="B98" s="51" t="s">
        <v>29</v>
      </c>
      <c r="F98" s="35" t="str">
        <f ca="1">IF(OR(OR($A98="",$B98=""),AND($C98&lt;&gt;"",$D98&lt;&gt;"")),"",VLOOKUP(A98,IF({1,0},INDIRECT("达修波得!$"&amp;$E$1&amp;"$2:$"&amp;$E$1&amp;"$15"),达修波得!$A$2:$A$15),2,FALSE))</f>
        <v>黑</v>
      </c>
      <c r="G98" s="35" t="str">
        <f ca="1">IF(OR(OR($A98="",$B98=""),AND($C98&lt;&gt;"",$D98&lt;&gt;"")),"",VLOOKUP(B98,IF({1,0},INDIRECT("达修波得!$"&amp;$E$1&amp;"$2:$"&amp;$E$1&amp;"$15"),达修波得!$A$2:$A$15),2,FALSE))</f>
        <v>宇</v>
      </c>
      <c r="H98" s="35" t="str">
        <f t="shared" ca="1" si="4"/>
        <v>黑宇</v>
      </c>
    </row>
    <row r="99" spans="1:8">
      <c r="A99" s="4" t="s">
        <v>158</v>
      </c>
      <c r="F99" s="35" t="str">
        <f ca="1">IF(OR(OR($A99="",$B99=""),AND($C99&lt;&gt;"",$D99&lt;&gt;"")),"",VLOOKUP(A99,IF({1,0},INDIRECT("达修波得!$"&amp;$E$1&amp;"$2:$"&amp;$E$1&amp;"$15"),达修波得!$A$2:$A$15),2,FALSE))</f>
        <v/>
      </c>
      <c r="G99" s="35" t="str">
        <f ca="1">IF(OR(OR($A99="",$B99=""),AND($C99&lt;&gt;"",$D99&lt;&gt;"")),"",VLOOKUP(B99,IF({1,0},INDIRECT("达修波得!$"&amp;$E$1&amp;"$2:$"&amp;$E$1&amp;"$15"),达修波得!$A$2:$A$15),2,FALSE))</f>
        <v/>
      </c>
      <c r="H99" s="35" t="str">
        <f t="shared" ca="1" si="4"/>
        <v/>
      </c>
    </row>
    <row r="100" spans="1:8">
      <c r="A100" t="s">
        <v>155</v>
      </c>
      <c r="B100" t="s">
        <v>85</v>
      </c>
      <c r="F100" s="35" t="str">
        <f ca="1">IF(OR(OR($A100="",$B100=""),AND($C100&lt;&gt;"",$D100&lt;&gt;"")),"",VLOOKUP(A100,IF({1,0},INDIRECT("达修波得!$"&amp;$E$1&amp;"$2:$"&amp;$E$1&amp;"$15"),达修波得!$A$2:$A$15),2,FALSE))</f>
        <v>爷</v>
      </c>
      <c r="G100" s="35" t="str">
        <f ca="1">IF(OR(OR($A100="",$B100=""),AND($C100&lt;&gt;"",$D100&lt;&gt;"")),"",VLOOKUP(B100,IF({1,0},INDIRECT("达修波得!$"&amp;$E$1&amp;"$2:$"&amp;$E$1&amp;"$15"),达修波得!$A$2:$A$15),2,FALSE))</f>
        <v>黑</v>
      </c>
      <c r="H100" s="35" t="str">
        <f t="shared" ca="1" si="4"/>
        <v>爷黑</v>
      </c>
    </row>
    <row r="101" spans="1:8">
      <c r="A101" t="s">
        <v>116</v>
      </c>
      <c r="B101" t="s">
        <v>76</v>
      </c>
      <c r="F101" s="35" t="str">
        <f ca="1">IF(OR(OR($A101="",$B101=""),AND($C101&lt;&gt;"",$D101&lt;&gt;"")),"",VLOOKUP(A101,IF({1,0},INDIRECT("达修波得!$"&amp;$E$1&amp;"$2:$"&amp;$E$1&amp;"$15"),达修波得!$A$2:$A$15),2,FALSE))</f>
        <v>贝</v>
      </c>
      <c r="G101" s="35" t="str">
        <f ca="1">IF(OR(OR($A101="",$B101=""),AND($C101&lt;&gt;"",$D101&lt;&gt;"")),"",VLOOKUP(B101,IF({1,0},INDIRECT("达修波得!$"&amp;$E$1&amp;"$2:$"&amp;$E$1&amp;"$15"),达修波得!$A$2:$A$15),2,FALSE))</f>
        <v>磊</v>
      </c>
      <c r="H101" s="35" t="str">
        <f t="shared" ca="1" si="4"/>
        <v>贝磊</v>
      </c>
    </row>
    <row r="102" spans="1:8">
      <c r="A102" t="s">
        <v>95</v>
      </c>
      <c r="B102" t="s">
        <v>119</v>
      </c>
      <c r="F102" s="35" t="str">
        <f ca="1">IF(OR(OR($A102="",$B102=""),AND($C102&lt;&gt;"",$D102&lt;&gt;"")),"",VLOOKUP(A102,IF({1,0},INDIRECT("达修波得!$"&amp;$E$1&amp;"$2:$"&amp;$E$1&amp;"$15"),达修波得!$A$2:$A$15),2,FALSE))</f>
        <v>贝</v>
      </c>
      <c r="G102" s="35" t="str">
        <f ca="1">IF(OR(OR($A102="",$B102=""),AND($C102&lt;&gt;"",$D102&lt;&gt;"")),"",VLOOKUP(B102,IF({1,0},INDIRECT("达修波得!$"&amp;$E$1&amp;"$2:$"&amp;$E$1&amp;"$15"),达修波得!$A$2:$A$15),2,FALSE))</f>
        <v>二</v>
      </c>
      <c r="H102" s="35" t="str">
        <f t="shared" ca="1" si="4"/>
        <v>贝二</v>
      </c>
    </row>
    <row r="103" spans="1:8">
      <c r="A103" t="s">
        <v>97</v>
      </c>
      <c r="B103" t="s">
        <v>157</v>
      </c>
      <c r="F103" s="35" t="str">
        <f ca="1">IF(OR(OR($A103="",$B103=""),AND($C103&lt;&gt;"",$D103&lt;&gt;"")),"",VLOOKUP(A103,IF({1,0},INDIRECT("达修波得!$"&amp;$E$1&amp;"$2:$"&amp;$E$1&amp;"$15"),达修波得!$A$2:$A$15),2,FALSE))</f>
        <v>磊</v>
      </c>
      <c r="G103" s="35" t="str">
        <f ca="1">IF(OR(OR($A103="",$B103=""),AND($C103&lt;&gt;"",$D103&lt;&gt;"")),"",VLOOKUP(B103,IF({1,0},INDIRECT("达修波得!$"&amp;$E$1&amp;"$2:$"&amp;$E$1&amp;"$15"),达修波得!$A$2:$A$15),2,FALSE))</f>
        <v>宇</v>
      </c>
      <c r="H103" s="35" t="str">
        <f t="shared" ca="1" si="4"/>
        <v>磊宇</v>
      </c>
    </row>
    <row r="104" spans="1:8">
      <c r="A104" s="51" t="s">
        <v>60</v>
      </c>
      <c r="B104" s="51" t="s">
        <v>61</v>
      </c>
      <c r="F104" s="35" t="str">
        <f ca="1">IF(OR(OR($A104="",$B104=""),AND($C104&lt;&gt;"",$D104&lt;&gt;"")),"",VLOOKUP(A104,IF({1,0},INDIRECT("达修波得!$"&amp;$E$1&amp;"$2:$"&amp;$E$1&amp;"$15"),达修波得!$A$2:$A$15),2,FALSE))</f>
        <v>黑</v>
      </c>
      <c r="G104" s="35" t="str">
        <f ca="1">IF(OR(OR($A104="",$B104=""),AND($C104&lt;&gt;"",$D104&lt;&gt;"")),"",VLOOKUP(B104,IF({1,0},INDIRECT("达修波得!$"&amp;$E$1&amp;"$2:$"&amp;$E$1&amp;"$15"),达修波得!$A$2:$A$15),2,FALSE))</f>
        <v>爷</v>
      </c>
      <c r="H104" s="35" t="str">
        <f t="shared" ca="1" si="4"/>
        <v>黑爷</v>
      </c>
    </row>
    <row r="105" spans="1:8">
      <c r="A105" s="51" t="s">
        <v>29</v>
      </c>
      <c r="B105" s="51" t="s">
        <v>40</v>
      </c>
      <c r="F105" s="35" t="str">
        <f ca="1">IF(OR(OR($A105="",$B105=""),AND($C105&lt;&gt;"",$D105&lt;&gt;"")),"",VLOOKUP(A105,IF({1,0},INDIRECT("达修波得!$"&amp;$E$1&amp;"$2:$"&amp;$E$1&amp;"$15"),达修波得!$A$2:$A$15),2,FALSE))</f>
        <v>宇</v>
      </c>
      <c r="G105" s="35" t="str">
        <f ca="1">IF(OR(OR($A105="",$B105=""),AND($C105&lt;&gt;"",$D105&lt;&gt;"")),"",VLOOKUP(B105,IF({1,0},INDIRECT("达修波得!$"&amp;$E$1&amp;"$2:$"&amp;$E$1&amp;"$15"),达修波得!$A$2:$A$15),2,FALSE))</f>
        <v>二</v>
      </c>
      <c r="H105" s="35" t="str">
        <f t="shared" ca="1" si="4"/>
        <v>宇二</v>
      </c>
    </row>
    <row r="106" spans="1:8">
      <c r="A106" s="4" t="s">
        <v>159</v>
      </c>
      <c r="F106" s="35" t="str">
        <f ca="1">IF(OR(OR($A106="",$B106=""),AND($C106&lt;&gt;"",$D106&lt;&gt;"")),"",VLOOKUP(A106,IF({1,0},INDIRECT("达修波得!$"&amp;$E$1&amp;"$2:$"&amp;$E$1&amp;"$15"),达修波得!$A$2:$A$15),2,FALSE))</f>
        <v/>
      </c>
      <c r="G106" s="35" t="str">
        <f ca="1">IF(OR(OR($A106="",$B106=""),AND($C106&lt;&gt;"",$D106&lt;&gt;"")),"",VLOOKUP(B106,IF({1,0},INDIRECT("达修波得!$"&amp;$E$1&amp;"$2:$"&amp;$E$1&amp;"$15"),达修波得!$A$2:$A$15),2,FALSE))</f>
        <v/>
      </c>
      <c r="H106" s="35" t="str">
        <f t="shared" ca="1" si="4"/>
        <v/>
      </c>
    </row>
    <row r="107" spans="1:8">
      <c r="A107" t="s">
        <v>116</v>
      </c>
      <c r="B107" t="s">
        <v>85</v>
      </c>
      <c r="F107" s="35" t="str">
        <f ca="1">IF(OR(OR($A107="",$B107=""),AND($C107&lt;&gt;"",$D107&lt;&gt;"")),"",VLOOKUP(A107,IF({1,0},INDIRECT("达修波得!$"&amp;$E$1&amp;"$2:$"&amp;$E$1&amp;"$15"),达修波得!$A$2:$A$15),2,FALSE))</f>
        <v>贝</v>
      </c>
      <c r="G107" s="35" t="str">
        <f ca="1">IF(OR(OR($A107="",$B107=""),AND($C107&lt;&gt;"",$D107&lt;&gt;"")),"",VLOOKUP(B107,IF({1,0},INDIRECT("达修波得!$"&amp;$E$1&amp;"$2:$"&amp;$E$1&amp;"$15"),达修波得!$A$2:$A$15),2,FALSE))</f>
        <v>黑</v>
      </c>
      <c r="H107" s="35" t="str">
        <f t="shared" ca="1" si="4"/>
        <v>贝黑</v>
      </c>
    </row>
    <row r="108" spans="1:8">
      <c r="A108" t="s">
        <v>95</v>
      </c>
      <c r="B108" t="s">
        <v>155</v>
      </c>
      <c r="F108" s="35" t="str">
        <f ca="1">IF(OR(OR($A108="",$B108=""),AND($C108&lt;&gt;"",$D108&lt;&gt;"")),"",VLOOKUP(A108,IF({1,0},INDIRECT("达修波得!$"&amp;$E$1&amp;"$2:$"&amp;$E$1&amp;"$15"),达修波得!$A$2:$A$15),2,FALSE))</f>
        <v>贝</v>
      </c>
      <c r="G108" s="35" t="str">
        <f ca="1">IF(OR(OR($A108="",$B108=""),AND($C108&lt;&gt;"",$D108&lt;&gt;"")),"",VLOOKUP(B108,IF({1,0},INDIRECT("达修波得!$"&amp;$E$1&amp;"$2:$"&amp;$E$1&amp;"$15"),达修波得!$A$2:$A$15),2,FALSE))</f>
        <v>爷</v>
      </c>
      <c r="H108" s="35" t="str">
        <f t="shared" ca="1" si="4"/>
        <v>贝爷</v>
      </c>
    </row>
    <row r="109" spans="1:8">
      <c r="A109" t="s">
        <v>97</v>
      </c>
      <c r="B109" t="s">
        <v>76</v>
      </c>
      <c r="F109" s="35" t="str">
        <f ca="1">IF(OR(OR($A109="",$B109=""),AND($C109&lt;&gt;"",$D109&lt;&gt;"")),"",VLOOKUP(A109,IF({1,0},INDIRECT("达修波得!$"&amp;$E$1&amp;"$2:$"&amp;$E$1&amp;"$15"),达修波得!$A$2:$A$15),2,FALSE))</f>
        <v>磊</v>
      </c>
      <c r="G109" s="35" t="str">
        <f ca="1">IF(OR(OR($A109="",$B109=""),AND($C109&lt;&gt;"",$D109&lt;&gt;"")),"",VLOOKUP(B109,IF({1,0},INDIRECT("达修波得!$"&amp;$E$1&amp;"$2:$"&amp;$E$1&amp;"$15"),达修波得!$A$2:$A$15),2,FALSE))</f>
        <v>磊</v>
      </c>
      <c r="H109" s="35" t="str">
        <f t="shared" ca="1" si="4"/>
        <v>磊磊</v>
      </c>
    </row>
    <row r="110" spans="1:8">
      <c r="A110" t="s">
        <v>60</v>
      </c>
      <c r="B110" t="s">
        <v>119</v>
      </c>
      <c r="F110" s="35" t="str">
        <f ca="1">IF(OR(OR($A110="",$B110=""),AND($C110&lt;&gt;"",$D110&lt;&gt;"")),"",VLOOKUP(A110,IF({1,0},INDIRECT("达修波得!$"&amp;$E$1&amp;"$2:$"&amp;$E$1&amp;"$15"),达修波得!$A$2:$A$15),2,FALSE))</f>
        <v>黑</v>
      </c>
      <c r="G110" s="35" t="str">
        <f ca="1">IF(OR(OR($A110="",$B110=""),AND($C110&lt;&gt;"",$D110&lt;&gt;"")),"",VLOOKUP(B110,IF({1,0},INDIRECT("达修波得!$"&amp;$E$1&amp;"$2:$"&amp;$E$1&amp;"$15"),达修波得!$A$2:$A$15),2,FALSE))</f>
        <v>二</v>
      </c>
      <c r="H110" s="35" t="str">
        <f t="shared" ca="1" si="4"/>
        <v>黑二</v>
      </c>
    </row>
    <row r="111" spans="1:8">
      <c r="A111" s="51" t="s">
        <v>29</v>
      </c>
      <c r="B111" s="51" t="s">
        <v>157</v>
      </c>
      <c r="F111" s="35" t="str">
        <f ca="1">IF(OR(OR($A111="",$B111=""),AND($C111&lt;&gt;"",$D111&lt;&gt;"")),"",VLOOKUP(A111,IF({1,0},INDIRECT("达修波得!$"&amp;$E$1&amp;"$2:$"&amp;$E$1&amp;"$15"),达修波得!$A$2:$A$15),2,FALSE))</f>
        <v>宇</v>
      </c>
      <c r="G111" s="35" t="str">
        <f ca="1">IF(OR(OR($A111="",$B111=""),AND($C111&lt;&gt;"",$D111&lt;&gt;"")),"",VLOOKUP(B111,IF({1,0},INDIRECT("达修波得!$"&amp;$E$1&amp;"$2:$"&amp;$E$1&amp;"$15"),达修波得!$A$2:$A$15),2,FALSE))</f>
        <v>宇</v>
      </c>
      <c r="H111" s="35" t="str">
        <f t="shared" ca="1" si="4"/>
        <v>宇宇</v>
      </c>
    </row>
    <row r="112" spans="1:8">
      <c r="A112" s="51" t="s">
        <v>40</v>
      </c>
      <c r="B112" s="51" t="s">
        <v>61</v>
      </c>
      <c r="F112" s="35" t="str">
        <f ca="1">IF(OR(OR($A112="",$B112=""),AND($C112&lt;&gt;"",$D112&lt;&gt;"")),"",VLOOKUP(A112,IF({1,0},INDIRECT("达修波得!$"&amp;$E$1&amp;"$2:$"&amp;$E$1&amp;"$15"),达修波得!$A$2:$A$15),2,FALSE))</f>
        <v>二</v>
      </c>
      <c r="G112" s="35" t="str">
        <f ca="1">IF(OR(OR($A112="",$B112=""),AND($C112&lt;&gt;"",$D112&lt;&gt;"")),"",VLOOKUP(B112,IF({1,0},INDIRECT("达修波得!$"&amp;$E$1&amp;"$2:$"&amp;$E$1&amp;"$15"),达修波得!$A$2:$A$15),2,FALSE))</f>
        <v>爷</v>
      </c>
      <c r="H112" s="35" t="str">
        <f t="shared" ca="1" si="4"/>
        <v>二爷</v>
      </c>
    </row>
    <row r="113" spans="1:8">
      <c r="A113" s="4" t="s">
        <v>160</v>
      </c>
      <c r="F113" s="35" t="str">
        <f ca="1">IF(OR(OR($A113="",$B113=""),AND($C113&lt;&gt;"",$D113&lt;&gt;"")),"",VLOOKUP(A113,IF({1,0},INDIRECT("达修波得!$"&amp;$E$1&amp;"$2:$"&amp;$E$1&amp;"$15"),达修波得!$A$2:$A$15),2,FALSE))</f>
        <v/>
      </c>
      <c r="G113" s="35" t="str">
        <f ca="1">IF(OR(OR($A113="",$B113=""),AND($C113&lt;&gt;"",$D113&lt;&gt;"")),"",VLOOKUP(B113,IF({1,0},INDIRECT("达修波得!$"&amp;$E$1&amp;"$2:$"&amp;$E$1&amp;"$15"),达修波得!$A$2:$A$15),2,FALSE))</f>
        <v/>
      </c>
      <c r="H113" s="35" t="str">
        <f t="shared" ca="1" si="4"/>
        <v/>
      </c>
    </row>
    <row r="114" spans="1:8">
      <c r="A114" t="s">
        <v>95</v>
      </c>
      <c r="B114" t="s">
        <v>85</v>
      </c>
      <c r="F114" s="35" t="str">
        <f ca="1">IF(OR(OR($A114="",$B114=""),AND($C114&lt;&gt;"",$D114&lt;&gt;"")),"",VLOOKUP(A114,IF({1,0},INDIRECT("达修波得!$"&amp;$E$1&amp;"$2:$"&amp;$E$1&amp;"$15"),达修波得!$A$2:$A$15),2,FALSE))</f>
        <v>贝</v>
      </c>
      <c r="G114" s="35" t="str">
        <f ca="1">IF(OR(OR($A114="",$B114=""),AND($C114&lt;&gt;"",$D114&lt;&gt;"")),"",VLOOKUP(B114,IF({1,0},INDIRECT("达修波得!$"&amp;$E$1&amp;"$2:$"&amp;$E$1&amp;"$15"),达修波得!$A$2:$A$15),2,FALSE))</f>
        <v>黑</v>
      </c>
      <c r="H114" s="35" t="str">
        <f t="shared" ca="1" si="4"/>
        <v>贝黑</v>
      </c>
    </row>
    <row r="115" spans="1:8">
      <c r="A115" t="s">
        <v>97</v>
      </c>
      <c r="B115" t="s">
        <v>116</v>
      </c>
      <c r="F115" s="35" t="str">
        <f ca="1">IF(OR(OR($A115="",$B115=""),AND($C115&lt;&gt;"",$D115&lt;&gt;"")),"",VLOOKUP(A115,IF({1,0},INDIRECT("达修波得!$"&amp;$E$1&amp;"$2:$"&amp;$E$1&amp;"$15"),达修波得!$A$2:$A$15),2,FALSE))</f>
        <v>磊</v>
      </c>
      <c r="G115" s="35" t="str">
        <f ca="1">IF(OR(OR($A115="",$B115=""),AND($C115&lt;&gt;"",$D115&lt;&gt;"")),"",VLOOKUP(B115,IF({1,0},INDIRECT("达修波得!$"&amp;$E$1&amp;"$2:$"&amp;$E$1&amp;"$15"),达修波得!$A$2:$A$15),2,FALSE))</f>
        <v>贝</v>
      </c>
      <c r="H115" s="35" t="str">
        <f t="shared" ca="1" si="4"/>
        <v>磊贝</v>
      </c>
    </row>
    <row r="116" spans="1:8">
      <c r="A116" t="s">
        <v>60</v>
      </c>
      <c r="B116" t="s">
        <v>155</v>
      </c>
      <c r="F116" s="35" t="str">
        <f ca="1">IF(OR(OR($A116="",$B116=""),AND($C116&lt;&gt;"",$D116&lt;&gt;"")),"",VLOOKUP(A116,IF({1,0},INDIRECT("达修波得!$"&amp;$E$1&amp;"$2:$"&amp;$E$1&amp;"$15"),达修波得!$A$2:$A$15),2,FALSE))</f>
        <v>黑</v>
      </c>
      <c r="G116" s="35" t="str">
        <f ca="1">IF(OR(OR($A116="",$B116=""),AND($C116&lt;&gt;"",$D116&lt;&gt;"")),"",VLOOKUP(B116,IF({1,0},INDIRECT("达修波得!$"&amp;$E$1&amp;"$2:$"&amp;$E$1&amp;"$15"),达修波得!$A$2:$A$15),2,FALSE))</f>
        <v>爷</v>
      </c>
      <c r="H116" s="35" t="str">
        <f t="shared" ca="1" si="4"/>
        <v>黑爷</v>
      </c>
    </row>
    <row r="117" spans="1:8">
      <c r="A117" t="s">
        <v>29</v>
      </c>
      <c r="B117" t="s">
        <v>76</v>
      </c>
      <c r="F117" s="35" t="str">
        <f ca="1">IF(OR(OR($A117="",$B117=""),AND($C117&lt;&gt;"",$D117&lt;&gt;"")),"",VLOOKUP(A117,IF({1,0},INDIRECT("达修波得!$"&amp;$E$1&amp;"$2:$"&amp;$E$1&amp;"$15"),达修波得!$A$2:$A$15),2,FALSE))</f>
        <v>宇</v>
      </c>
      <c r="G117" s="35" t="str">
        <f ca="1">IF(OR(OR($A117="",$B117=""),AND($C117&lt;&gt;"",$D117&lt;&gt;"")),"",VLOOKUP(B117,IF({1,0},INDIRECT("达修波得!$"&amp;$E$1&amp;"$2:$"&amp;$E$1&amp;"$15"),达修波得!$A$2:$A$15),2,FALSE))</f>
        <v>磊</v>
      </c>
      <c r="H117" s="35" t="str">
        <f t="shared" ca="1" si="4"/>
        <v>宇磊</v>
      </c>
    </row>
    <row r="118" spans="1:8">
      <c r="A118" s="51" t="s">
        <v>40</v>
      </c>
      <c r="B118" s="51" t="s">
        <v>119</v>
      </c>
      <c r="F118" s="35" t="str">
        <f ca="1">IF(OR(OR($A118="",$B118=""),AND($C118&lt;&gt;"",$D118&lt;&gt;"")),"",VLOOKUP(A118,IF({1,0},INDIRECT("达修波得!$"&amp;$E$1&amp;"$2:$"&amp;$E$1&amp;"$15"),达修波得!$A$2:$A$15),2,FALSE))</f>
        <v>二</v>
      </c>
      <c r="G118" s="35" t="str">
        <f ca="1">IF(OR(OR($A118="",$B118=""),AND($C118&lt;&gt;"",$D118&lt;&gt;"")),"",VLOOKUP(B118,IF({1,0},INDIRECT("达修波得!$"&amp;$E$1&amp;"$2:$"&amp;$E$1&amp;"$15"),达修波得!$A$2:$A$15),2,FALSE))</f>
        <v>二</v>
      </c>
      <c r="H118" s="35" t="str">
        <f t="shared" ca="1" si="4"/>
        <v>二二</v>
      </c>
    </row>
    <row r="119" spans="1:8">
      <c r="A119" s="51" t="s">
        <v>61</v>
      </c>
      <c r="B119" s="51" t="s">
        <v>157</v>
      </c>
      <c r="F119" s="35" t="str">
        <f ca="1">IF(OR(OR($A119="",$B119=""),AND($C119&lt;&gt;"",$D119&lt;&gt;"")),"",VLOOKUP(A119,IF({1,0},INDIRECT("达修波得!$"&amp;$E$1&amp;"$2:$"&amp;$E$1&amp;"$15"),达修波得!$A$2:$A$15),2,FALSE))</f>
        <v>爷</v>
      </c>
      <c r="G119" s="35" t="str">
        <f ca="1">IF(OR(OR($A119="",$B119=""),AND($C119&lt;&gt;"",$D119&lt;&gt;"")),"",VLOOKUP(B119,IF({1,0},INDIRECT("达修波得!$"&amp;$E$1&amp;"$2:$"&amp;$E$1&amp;"$15"),达修波得!$A$2:$A$15),2,FALSE))</f>
        <v>宇</v>
      </c>
      <c r="H119" s="35" t="str">
        <f t="shared" ca="1" si="4"/>
        <v>爷宇</v>
      </c>
    </row>
    <row r="120" spans="1:8">
      <c r="A120" s="4" t="s">
        <v>161</v>
      </c>
      <c r="F120" s="35" t="str">
        <f ca="1">IF(OR(OR($A120="",$B120=""),AND($C120&lt;&gt;"",$D120&lt;&gt;"")),"",VLOOKUP(A120,IF({1,0},INDIRECT("达修波得!$"&amp;$E$1&amp;"$2:$"&amp;$E$1&amp;"$15"),达修波得!$A$2:$A$15),2,FALSE))</f>
        <v/>
      </c>
      <c r="G120" s="35" t="str">
        <f ca="1">IF(OR(OR($A120="",$B120=""),AND($C120&lt;&gt;"",$D120&lt;&gt;"")),"",VLOOKUP(B120,IF({1,0},INDIRECT("达修波得!$"&amp;$E$1&amp;"$2:$"&amp;$E$1&amp;"$15"),达修波得!$A$2:$A$15),2,FALSE))</f>
        <v/>
      </c>
      <c r="H120" s="35" t="str">
        <f t="shared" ca="1" si="4"/>
        <v/>
      </c>
    </row>
    <row r="121" spans="1:8">
      <c r="A121" t="s">
        <v>97</v>
      </c>
      <c r="B121" t="s">
        <v>85</v>
      </c>
      <c r="F121" s="35" t="str">
        <f ca="1">IF(OR(OR($A121="",$B121=""),AND($C121&lt;&gt;"",$D121&lt;&gt;"")),"",VLOOKUP(A121,IF({1,0},INDIRECT("达修波得!$"&amp;$E$1&amp;"$2:$"&amp;$E$1&amp;"$15"),达修波得!$A$2:$A$15),2,FALSE))</f>
        <v>磊</v>
      </c>
      <c r="G121" s="35" t="str">
        <f ca="1">IF(OR(OR($A121="",$B121=""),AND($C121&lt;&gt;"",$D121&lt;&gt;"")),"",VLOOKUP(B121,IF({1,0},INDIRECT("达修波得!$"&amp;$E$1&amp;"$2:$"&amp;$E$1&amp;"$15"),达修波得!$A$2:$A$15),2,FALSE))</f>
        <v>黑</v>
      </c>
      <c r="H121" s="35" t="str">
        <f t="shared" ca="1" si="4"/>
        <v>磊黑</v>
      </c>
    </row>
    <row r="122" spans="1:8">
      <c r="A122" t="s">
        <v>60</v>
      </c>
      <c r="B122" t="s">
        <v>95</v>
      </c>
      <c r="F122" s="35" t="str">
        <f ca="1">IF(OR(OR($A122="",$B122=""),AND($C122&lt;&gt;"",$D122&lt;&gt;"")),"",VLOOKUP(A122,IF({1,0},INDIRECT("达修波得!$"&amp;$E$1&amp;"$2:$"&amp;$E$1&amp;"$15"),达修波得!$A$2:$A$15),2,FALSE))</f>
        <v>黑</v>
      </c>
      <c r="G122" s="35" t="str">
        <f ca="1">IF(OR(OR($A122="",$B122=""),AND($C122&lt;&gt;"",$D122&lt;&gt;"")),"",VLOOKUP(B122,IF({1,0},INDIRECT("达修波得!$"&amp;$E$1&amp;"$2:$"&amp;$E$1&amp;"$15"),达修波得!$A$2:$A$15),2,FALSE))</f>
        <v>贝</v>
      </c>
      <c r="H122" s="35" t="str">
        <f t="shared" ca="1" si="4"/>
        <v>黑贝</v>
      </c>
    </row>
    <row r="123" spans="1:8">
      <c r="A123" t="s">
        <v>29</v>
      </c>
      <c r="B123" t="s">
        <v>116</v>
      </c>
      <c r="F123" s="35" t="str">
        <f ca="1">IF(OR(OR($A123="",$B123=""),AND($C123&lt;&gt;"",$D123&lt;&gt;"")),"",VLOOKUP(A123,IF({1,0},INDIRECT("达修波得!$"&amp;$E$1&amp;"$2:$"&amp;$E$1&amp;"$15"),达修波得!$A$2:$A$15),2,FALSE))</f>
        <v>宇</v>
      </c>
      <c r="G123" s="35" t="str">
        <f ca="1">IF(OR(OR($A123="",$B123=""),AND($C123&lt;&gt;"",$D123&lt;&gt;"")),"",VLOOKUP(B123,IF({1,0},INDIRECT("达修波得!$"&amp;$E$1&amp;"$2:$"&amp;$E$1&amp;"$15"),达修波得!$A$2:$A$15),2,FALSE))</f>
        <v>贝</v>
      </c>
      <c r="H123" s="35" t="str">
        <f t="shared" ca="1" si="4"/>
        <v>宇贝</v>
      </c>
    </row>
    <row r="124" spans="1:8">
      <c r="A124" t="s">
        <v>40</v>
      </c>
      <c r="B124" t="s">
        <v>155</v>
      </c>
      <c r="F124" s="35" t="str">
        <f ca="1">IF(OR(OR($A124="",$B124=""),AND($C124&lt;&gt;"",$D124&lt;&gt;"")),"",VLOOKUP(A124,IF({1,0},INDIRECT("达修波得!$"&amp;$E$1&amp;"$2:$"&amp;$E$1&amp;"$15"),达修波得!$A$2:$A$15),2,FALSE))</f>
        <v>二</v>
      </c>
      <c r="G124" s="35" t="str">
        <f ca="1">IF(OR(OR($A124="",$B124=""),AND($C124&lt;&gt;"",$D124&lt;&gt;"")),"",VLOOKUP(B124,IF({1,0},INDIRECT("达修波得!$"&amp;$E$1&amp;"$2:$"&amp;$E$1&amp;"$15"),达修波得!$A$2:$A$15),2,FALSE))</f>
        <v>爷</v>
      </c>
      <c r="H124" s="35" t="str">
        <f t="shared" ca="1" si="4"/>
        <v>二爷</v>
      </c>
    </row>
    <row r="125" spans="1:8">
      <c r="A125" s="51" t="s">
        <v>61</v>
      </c>
      <c r="B125" s="51" t="s">
        <v>76</v>
      </c>
      <c r="F125" s="35" t="str">
        <f ca="1">IF(OR(OR($A125="",$B125=""),AND($C125&lt;&gt;"",$D125&lt;&gt;"")),"",VLOOKUP(A125,IF({1,0},INDIRECT("达修波得!$"&amp;$E$1&amp;"$2:$"&amp;$E$1&amp;"$15"),达修波得!$A$2:$A$15),2,FALSE))</f>
        <v>爷</v>
      </c>
      <c r="G125" s="35" t="str">
        <f ca="1">IF(OR(OR($A125="",$B125=""),AND($C125&lt;&gt;"",$D125&lt;&gt;"")),"",VLOOKUP(B125,IF({1,0},INDIRECT("达修波得!$"&amp;$E$1&amp;"$2:$"&amp;$E$1&amp;"$15"),达修波得!$A$2:$A$15),2,FALSE))</f>
        <v>磊</v>
      </c>
      <c r="H125" s="35" t="str">
        <f t="shared" ca="1" si="4"/>
        <v>爷磊</v>
      </c>
    </row>
    <row r="126" spans="1:8">
      <c r="A126" s="51" t="s">
        <v>157</v>
      </c>
      <c r="B126" s="51" t="s">
        <v>119</v>
      </c>
      <c r="F126" s="35" t="str">
        <f ca="1">IF(OR(OR($A126="",$B126=""),AND($C126&lt;&gt;"",$D126&lt;&gt;"")),"",VLOOKUP(A126,IF({1,0},INDIRECT("达修波得!$"&amp;$E$1&amp;"$2:$"&amp;$E$1&amp;"$15"),达修波得!$A$2:$A$15),2,FALSE))</f>
        <v>宇</v>
      </c>
      <c r="G126" s="35" t="str">
        <f ca="1">IF(OR(OR($A126="",$B126=""),AND($C126&lt;&gt;"",$D126&lt;&gt;"")),"",VLOOKUP(B126,IF({1,0},INDIRECT("达修波得!$"&amp;$E$1&amp;"$2:$"&amp;$E$1&amp;"$15"),达修波得!$A$2:$A$15),2,FALSE))</f>
        <v>二</v>
      </c>
      <c r="H126" s="35" t="str">
        <f t="shared" ca="1" si="4"/>
        <v>宇二</v>
      </c>
    </row>
    <row r="127" spans="1:8">
      <c r="A127" s="4" t="s">
        <v>162</v>
      </c>
      <c r="F127" s="35" t="str">
        <f ca="1">IF(OR(OR($A127="",$B127=""),AND($C127&lt;&gt;"",$D127&lt;&gt;"")),"",VLOOKUP(A127,IF({1,0},INDIRECT("达修波得!$"&amp;$E$1&amp;"$2:$"&amp;$E$1&amp;"$15"),达修波得!$A$2:$A$15),2,FALSE))</f>
        <v/>
      </c>
      <c r="G127" s="35" t="str">
        <f ca="1">IF(OR(OR($A127="",$B127=""),AND($C127&lt;&gt;"",$D127&lt;&gt;"")),"",VLOOKUP(B127,IF({1,0},INDIRECT("达修波得!$"&amp;$E$1&amp;"$2:$"&amp;$E$1&amp;"$15"),达修波得!$A$2:$A$15),2,FALSE))</f>
        <v/>
      </c>
      <c r="H127" s="35" t="str">
        <f t="shared" ca="1" si="4"/>
        <v/>
      </c>
    </row>
    <row r="128" spans="1:8">
      <c r="A128" t="s">
        <v>60</v>
      </c>
      <c r="B128" t="s">
        <v>85</v>
      </c>
      <c r="F128" s="35" t="str">
        <f ca="1">IF(OR(OR($A128="",$B128=""),AND($C128&lt;&gt;"",$D128&lt;&gt;"")),"",VLOOKUP(A128,IF({1,0},INDIRECT("达修波得!$"&amp;$E$1&amp;"$2:$"&amp;$E$1&amp;"$15"),达修波得!$A$2:$A$15),2,FALSE))</f>
        <v>黑</v>
      </c>
      <c r="G128" s="35" t="str">
        <f ca="1">IF(OR(OR($A128="",$B128=""),AND($C128&lt;&gt;"",$D128&lt;&gt;"")),"",VLOOKUP(B128,IF({1,0},INDIRECT("达修波得!$"&amp;$E$1&amp;"$2:$"&amp;$E$1&amp;"$15"),达修波得!$A$2:$A$15),2,FALSE))</f>
        <v>黑</v>
      </c>
      <c r="H128" s="35" t="str">
        <f t="shared" ca="1" si="4"/>
        <v>黑黑</v>
      </c>
    </row>
    <row r="129" spans="1:8">
      <c r="A129" t="s">
        <v>29</v>
      </c>
      <c r="B129" t="s">
        <v>97</v>
      </c>
      <c r="F129" s="35" t="str">
        <f ca="1">IF(OR(OR($A129="",$B129=""),AND($C129&lt;&gt;"",$D129&lt;&gt;"")),"",VLOOKUP(A129,IF({1,0},INDIRECT("达修波得!$"&amp;$E$1&amp;"$2:$"&amp;$E$1&amp;"$15"),达修波得!$A$2:$A$15),2,FALSE))</f>
        <v>宇</v>
      </c>
      <c r="G129" s="35" t="str">
        <f ca="1">IF(OR(OR($A129="",$B129=""),AND($C129&lt;&gt;"",$D129&lt;&gt;"")),"",VLOOKUP(B129,IF({1,0},INDIRECT("达修波得!$"&amp;$E$1&amp;"$2:$"&amp;$E$1&amp;"$15"),达修波得!$A$2:$A$15),2,FALSE))</f>
        <v>磊</v>
      </c>
      <c r="H129" s="35" t="str">
        <f t="shared" ca="1" si="4"/>
        <v>宇磊</v>
      </c>
    </row>
    <row r="130" spans="1:8">
      <c r="A130" t="s">
        <v>40</v>
      </c>
      <c r="B130" t="s">
        <v>95</v>
      </c>
      <c r="F130" s="35" t="str">
        <f ca="1">IF(OR(OR($A130="",$B130=""),AND($C130&lt;&gt;"",$D130&lt;&gt;"")),"",VLOOKUP(A130,IF({1,0},INDIRECT("达修波得!$"&amp;$E$1&amp;"$2:$"&amp;$E$1&amp;"$15"),达修波得!$A$2:$A$15),2,FALSE))</f>
        <v>二</v>
      </c>
      <c r="G130" s="35" t="str">
        <f ca="1">IF(OR(OR($A130="",$B130=""),AND($C130&lt;&gt;"",$D130&lt;&gt;"")),"",VLOOKUP(B130,IF({1,0},INDIRECT("达修波得!$"&amp;$E$1&amp;"$2:$"&amp;$E$1&amp;"$15"),达修波得!$A$2:$A$15),2,FALSE))</f>
        <v>贝</v>
      </c>
      <c r="H130" s="35" t="str">
        <f t="shared" ca="1" si="4"/>
        <v>二贝</v>
      </c>
    </row>
    <row r="131" spans="1:8">
      <c r="A131" t="s">
        <v>61</v>
      </c>
      <c r="B131" t="s">
        <v>116</v>
      </c>
      <c r="F131" s="35" t="str">
        <f ca="1">IF(OR(OR($A131="",$B131=""),AND($C131&lt;&gt;"",$D131&lt;&gt;"")),"",VLOOKUP(A131,IF({1,0},INDIRECT("达修波得!$"&amp;$E$1&amp;"$2:$"&amp;$E$1&amp;"$15"),达修波得!$A$2:$A$15),2,FALSE))</f>
        <v>爷</v>
      </c>
      <c r="G131" s="35" t="str">
        <f ca="1">IF(OR(OR($A131="",$B131=""),AND($C131&lt;&gt;"",$D131&lt;&gt;"")),"",VLOOKUP(B131,IF({1,0},INDIRECT("达修波得!$"&amp;$E$1&amp;"$2:$"&amp;$E$1&amp;"$15"),达修波得!$A$2:$A$15),2,FALSE))</f>
        <v>贝</v>
      </c>
      <c r="H131" s="35" t="str">
        <f t="shared" ca="1" si="4"/>
        <v>爷贝</v>
      </c>
    </row>
    <row r="132" spans="1:8">
      <c r="A132" s="51" t="s">
        <v>157</v>
      </c>
      <c r="B132" s="51" t="s">
        <v>155</v>
      </c>
      <c r="F132" s="35" t="str">
        <f ca="1">IF(OR(OR($A132="",$B132=""),AND($C132&lt;&gt;"",$D132&lt;&gt;"")),"",VLOOKUP(A132,IF({1,0},INDIRECT("达修波得!$"&amp;$E$1&amp;"$2:$"&amp;$E$1&amp;"$15"),达修波得!$A$2:$A$15),2,FALSE))</f>
        <v>宇</v>
      </c>
      <c r="G132" s="35" t="str">
        <f ca="1">IF(OR(OR($A132="",$B132=""),AND($C132&lt;&gt;"",$D132&lt;&gt;"")),"",VLOOKUP(B132,IF({1,0},INDIRECT("达修波得!$"&amp;$E$1&amp;"$2:$"&amp;$E$1&amp;"$15"),达修波得!$A$2:$A$15),2,FALSE))</f>
        <v>爷</v>
      </c>
      <c r="H132" s="35" t="str">
        <f t="shared" ca="1" si="4"/>
        <v>宇爷</v>
      </c>
    </row>
    <row r="133" spans="1:8">
      <c r="A133" s="51" t="s">
        <v>119</v>
      </c>
      <c r="B133" s="51" t="s">
        <v>76</v>
      </c>
      <c r="F133" s="35" t="str">
        <f ca="1">IF(OR(OR($A133="",$B133=""),AND($C133&lt;&gt;"",$D133&lt;&gt;"")),"",VLOOKUP(A133,IF({1,0},INDIRECT("达修波得!$"&amp;$E$1&amp;"$2:$"&amp;$E$1&amp;"$15"),达修波得!$A$2:$A$15),2,FALSE))</f>
        <v>二</v>
      </c>
      <c r="G133" s="35" t="str">
        <f ca="1">IF(OR(OR($A133="",$B133=""),AND($C133&lt;&gt;"",$D133&lt;&gt;"")),"",VLOOKUP(B133,IF({1,0},INDIRECT("达修波得!$"&amp;$E$1&amp;"$2:$"&amp;$E$1&amp;"$15"),达修波得!$A$2:$A$15),2,FALSE))</f>
        <v>磊</v>
      </c>
      <c r="H133" s="35" t="str">
        <f t="shared" ca="1" si="4"/>
        <v>二磊</v>
      </c>
    </row>
    <row r="134" spans="1:8">
      <c r="A134" s="4" t="s">
        <v>163</v>
      </c>
      <c r="F134" s="35" t="str">
        <f ca="1">IF(OR(OR($A134="",$B134=""),AND($C134&lt;&gt;"",$D134&lt;&gt;"")),"",VLOOKUP(A134,IF({1,0},INDIRECT("达修波得!$"&amp;$E$1&amp;"$2:$"&amp;$E$1&amp;"$15"),达修波得!$A$2:$A$15),2,FALSE))</f>
        <v/>
      </c>
      <c r="G134" s="35" t="str">
        <f ca="1">IF(OR(OR($A134="",$B134=""),AND($C134&lt;&gt;"",$D134&lt;&gt;"")),"",VLOOKUP(B134,IF({1,0},INDIRECT("达修波得!$"&amp;$E$1&amp;"$2:$"&amp;$E$1&amp;"$15"),达修波得!$A$2:$A$15),2,FALSE))</f>
        <v/>
      </c>
      <c r="H134" s="35" t="str">
        <f t="shared" ca="1" si="4"/>
        <v/>
      </c>
    </row>
    <row r="135" spans="1:8">
      <c r="A135" t="s">
        <v>29</v>
      </c>
      <c r="B135" t="s">
        <v>85</v>
      </c>
      <c r="F135" s="35" t="str">
        <f ca="1">IF(OR(OR($A135="",$B135=""),AND($C135&lt;&gt;"",$D135&lt;&gt;"")),"",VLOOKUP(A135,IF({1,0},INDIRECT("达修波得!$"&amp;$E$1&amp;"$2:$"&amp;$E$1&amp;"$15"),达修波得!$A$2:$A$15),2,FALSE))</f>
        <v>宇</v>
      </c>
      <c r="G135" s="35" t="str">
        <f ca="1">IF(OR(OR($A135="",$B135=""),AND($C135&lt;&gt;"",$D135&lt;&gt;"")),"",VLOOKUP(B135,IF({1,0},INDIRECT("达修波得!$"&amp;$E$1&amp;"$2:$"&amp;$E$1&amp;"$15"),达修波得!$A$2:$A$15),2,FALSE))</f>
        <v>黑</v>
      </c>
      <c r="H135" s="35" t="str">
        <f t="shared" ca="1" si="4"/>
        <v>宇黑</v>
      </c>
    </row>
    <row r="136" spans="1:8">
      <c r="A136" t="s">
        <v>40</v>
      </c>
      <c r="B136" t="s">
        <v>60</v>
      </c>
      <c r="F136" s="35" t="str">
        <f ca="1">IF(OR(OR($A136="",$B136=""),AND($C136&lt;&gt;"",$D136&lt;&gt;"")),"",VLOOKUP(A136,IF({1,0},INDIRECT("达修波得!$"&amp;$E$1&amp;"$2:$"&amp;$E$1&amp;"$15"),达修波得!$A$2:$A$15),2,FALSE))</f>
        <v>二</v>
      </c>
      <c r="G136" s="35" t="str">
        <f ca="1">IF(OR(OR($A136="",$B136=""),AND($C136&lt;&gt;"",$D136&lt;&gt;"")),"",VLOOKUP(B136,IF({1,0},INDIRECT("达修波得!$"&amp;$E$1&amp;"$2:$"&amp;$E$1&amp;"$15"),达修波得!$A$2:$A$15),2,FALSE))</f>
        <v>黑</v>
      </c>
      <c r="H136" s="35" t="str">
        <f t="shared" ca="1" si="4"/>
        <v>二黑</v>
      </c>
    </row>
    <row r="137" spans="1:8">
      <c r="A137" t="s">
        <v>61</v>
      </c>
      <c r="B137" t="s">
        <v>97</v>
      </c>
      <c r="F137" s="35" t="str">
        <f ca="1">IF(OR(OR($A137="",$B137=""),AND($C137&lt;&gt;"",$D137&lt;&gt;"")),"",VLOOKUP(A137,IF({1,0},INDIRECT("达修波得!$"&amp;$E$1&amp;"$2:$"&amp;$E$1&amp;"$15"),达修波得!$A$2:$A$15),2,FALSE))</f>
        <v>爷</v>
      </c>
      <c r="G137" s="35" t="str">
        <f ca="1">IF(OR(OR($A137="",$B137=""),AND($C137&lt;&gt;"",$D137&lt;&gt;"")),"",VLOOKUP(B137,IF({1,0},INDIRECT("达修波得!$"&amp;$E$1&amp;"$2:$"&amp;$E$1&amp;"$15"),达修波得!$A$2:$A$15),2,FALSE))</f>
        <v>磊</v>
      </c>
      <c r="H137" s="35" t="str">
        <f t="shared" ca="1" si="4"/>
        <v>爷磊</v>
      </c>
    </row>
    <row r="138" spans="1:8">
      <c r="A138" t="s">
        <v>157</v>
      </c>
      <c r="B138" t="s">
        <v>95</v>
      </c>
      <c r="F138" s="35" t="str">
        <f ca="1">IF(OR(OR($A138="",$B138=""),AND($C138&lt;&gt;"",$D138&lt;&gt;"")),"",VLOOKUP(A138,IF({1,0},INDIRECT("达修波得!$"&amp;$E$1&amp;"$2:$"&amp;$E$1&amp;"$15"),达修波得!$A$2:$A$15),2,FALSE))</f>
        <v>宇</v>
      </c>
      <c r="G138" s="35" t="str">
        <f ca="1">IF(OR(OR($A138="",$B138=""),AND($C138&lt;&gt;"",$D138&lt;&gt;"")),"",VLOOKUP(B138,IF({1,0},INDIRECT("达修波得!$"&amp;$E$1&amp;"$2:$"&amp;$E$1&amp;"$15"),达修波得!$A$2:$A$15),2,FALSE))</f>
        <v>贝</v>
      </c>
      <c r="H138" s="35" t="str">
        <f t="shared" ca="1" si="4"/>
        <v>宇贝</v>
      </c>
    </row>
    <row r="139" spans="1:8">
      <c r="A139" s="51" t="s">
        <v>119</v>
      </c>
      <c r="B139" s="51" t="s">
        <v>116</v>
      </c>
      <c r="F139" s="35" t="str">
        <f ca="1">IF(OR(OR($A139="",$B139=""),AND($C139&lt;&gt;"",$D139&lt;&gt;"")),"",VLOOKUP(A139,IF({1,0},INDIRECT("达修波得!$"&amp;$E$1&amp;"$2:$"&amp;$E$1&amp;"$15"),达修波得!$A$2:$A$15),2,FALSE))</f>
        <v>二</v>
      </c>
      <c r="G139" s="35" t="str">
        <f ca="1">IF(OR(OR($A139="",$B139=""),AND($C139&lt;&gt;"",$D139&lt;&gt;"")),"",VLOOKUP(B139,IF({1,0},INDIRECT("达修波得!$"&amp;$E$1&amp;"$2:$"&amp;$E$1&amp;"$15"),达修波得!$A$2:$A$15),2,FALSE))</f>
        <v>贝</v>
      </c>
      <c r="H139" s="35" t="str">
        <f t="shared" ca="1" si="4"/>
        <v>二贝</v>
      </c>
    </row>
    <row r="140" spans="1:8">
      <c r="A140" s="51" t="s">
        <v>76</v>
      </c>
      <c r="B140" s="51" t="s">
        <v>155</v>
      </c>
      <c r="F140" s="35" t="str">
        <f ca="1">IF(OR(OR($A140="",$B140=""),AND($C140&lt;&gt;"",$D140&lt;&gt;"")),"",VLOOKUP(A140,IF({1,0},INDIRECT("达修波得!$"&amp;$E$1&amp;"$2:$"&amp;$E$1&amp;"$15"),达修波得!$A$2:$A$15),2,FALSE))</f>
        <v>磊</v>
      </c>
      <c r="G140" s="35" t="str">
        <f ca="1">IF(OR(OR($A140="",$B140=""),AND($C140&lt;&gt;"",$D140&lt;&gt;"")),"",VLOOKUP(B140,IF({1,0},INDIRECT("达修波得!$"&amp;$E$1&amp;"$2:$"&amp;$E$1&amp;"$15"),达修波得!$A$2:$A$15),2,FALSE))</f>
        <v>爷</v>
      </c>
      <c r="H140" s="35" t="str">
        <f t="shared" ca="1" si="4"/>
        <v>磊爷</v>
      </c>
    </row>
    <row r="141" spans="1:8">
      <c r="A141" s="4" t="s">
        <v>164</v>
      </c>
      <c r="F141" s="35" t="str">
        <f ca="1">IF(OR(OR($A141="",$B141=""),AND($C141&lt;&gt;"",$D141&lt;&gt;"")),"",VLOOKUP(A141,IF({1,0},INDIRECT("达修波得!$"&amp;$E$1&amp;"$2:$"&amp;$E$1&amp;"$15"),达修波得!$A$2:$A$15),2,FALSE))</f>
        <v/>
      </c>
      <c r="G141" s="35" t="str">
        <f ca="1">IF(OR(OR($A141="",$B141=""),AND($C141&lt;&gt;"",$D141&lt;&gt;"")),"",VLOOKUP(B141,IF({1,0},INDIRECT("达修波得!$"&amp;$E$1&amp;"$2:$"&amp;$E$1&amp;"$15"),达修波得!$A$2:$A$15),2,FALSE))</f>
        <v/>
      </c>
      <c r="H141" s="35" t="str">
        <f t="shared" ca="1" si="4"/>
        <v/>
      </c>
    </row>
    <row r="142" spans="1:8">
      <c r="A142" t="s">
        <v>40</v>
      </c>
      <c r="B142" t="s">
        <v>85</v>
      </c>
      <c r="F142" s="35" t="str">
        <f ca="1">IF(OR(OR($A142="",$B142=""),AND($C142&lt;&gt;"",$D142&lt;&gt;"")),"",VLOOKUP(A142,IF({1,0},INDIRECT("达修波得!$"&amp;$E$1&amp;"$2:$"&amp;$E$1&amp;"$15"),达修波得!$A$2:$A$15),2,FALSE))</f>
        <v>二</v>
      </c>
      <c r="G142" s="35" t="str">
        <f ca="1">IF(OR(OR($A142="",$B142=""),AND($C142&lt;&gt;"",$D142&lt;&gt;"")),"",VLOOKUP(B142,IF({1,0},INDIRECT("达修波得!$"&amp;$E$1&amp;"$2:$"&amp;$E$1&amp;"$15"),达修波得!$A$2:$A$15),2,FALSE))</f>
        <v>黑</v>
      </c>
      <c r="H142" s="35" t="str">
        <f t="shared" ca="1" si="4"/>
        <v>二黑</v>
      </c>
    </row>
    <row r="143" spans="1:8">
      <c r="A143" t="s">
        <v>61</v>
      </c>
      <c r="B143" t="s">
        <v>29</v>
      </c>
      <c r="F143" s="35" t="str">
        <f ca="1">IF(OR(OR($A143="",$B143=""),AND($C143&lt;&gt;"",$D143&lt;&gt;"")),"",VLOOKUP(A143,IF({1,0},INDIRECT("达修波得!$"&amp;$E$1&amp;"$2:$"&amp;$E$1&amp;"$15"),达修波得!$A$2:$A$15),2,FALSE))</f>
        <v>爷</v>
      </c>
      <c r="G143" s="35" t="str">
        <f ca="1">IF(OR(OR($A143="",$B143=""),AND($C143&lt;&gt;"",$D143&lt;&gt;"")),"",VLOOKUP(B143,IF({1,0},INDIRECT("达修波得!$"&amp;$E$1&amp;"$2:$"&amp;$E$1&amp;"$15"),达修波得!$A$2:$A$15),2,FALSE))</f>
        <v>宇</v>
      </c>
      <c r="H143" s="35" t="str">
        <f t="shared" ca="1" si="4"/>
        <v>爷宇</v>
      </c>
    </row>
    <row r="144" spans="1:8">
      <c r="A144" t="s">
        <v>157</v>
      </c>
      <c r="B144" t="s">
        <v>60</v>
      </c>
      <c r="F144" s="35" t="str">
        <f ca="1">IF(OR(OR($A144="",$B144=""),AND($C144&lt;&gt;"",$D144&lt;&gt;"")),"",VLOOKUP(A144,IF({1,0},INDIRECT("达修波得!$"&amp;$E$1&amp;"$2:$"&amp;$E$1&amp;"$15"),达修波得!$A$2:$A$15),2,FALSE))</f>
        <v>宇</v>
      </c>
      <c r="G144" s="35" t="str">
        <f ca="1">IF(OR(OR($A144="",$B144=""),AND($C144&lt;&gt;"",$D144&lt;&gt;"")),"",VLOOKUP(B144,IF({1,0},INDIRECT("达修波得!$"&amp;$E$1&amp;"$2:$"&amp;$E$1&amp;"$15"),达修波得!$A$2:$A$15),2,FALSE))</f>
        <v>黑</v>
      </c>
      <c r="H144" s="35" t="str">
        <f t="shared" ca="1" si="4"/>
        <v>宇黑</v>
      </c>
    </row>
    <row r="145" spans="1:8">
      <c r="A145" t="s">
        <v>119</v>
      </c>
      <c r="B145" t="s">
        <v>97</v>
      </c>
      <c r="F145" s="35" t="str">
        <f ca="1">IF(OR(OR($A145="",$B145=""),AND($C145&lt;&gt;"",$D145&lt;&gt;"")),"",VLOOKUP(A145,IF({1,0},INDIRECT("达修波得!$"&amp;$E$1&amp;"$2:$"&amp;$E$1&amp;"$15"),达修波得!$A$2:$A$15),2,FALSE))</f>
        <v>二</v>
      </c>
      <c r="G145" s="35" t="str">
        <f ca="1">IF(OR(OR($A145="",$B145=""),AND($C145&lt;&gt;"",$D145&lt;&gt;"")),"",VLOOKUP(B145,IF({1,0},INDIRECT("达修波得!$"&amp;$E$1&amp;"$2:$"&amp;$E$1&amp;"$15"),达修波得!$A$2:$A$15),2,FALSE))</f>
        <v>磊</v>
      </c>
      <c r="H145" s="35" t="str">
        <f t="shared" ca="1" si="4"/>
        <v>二磊</v>
      </c>
    </row>
    <row r="146" spans="1:8">
      <c r="A146" s="51" t="s">
        <v>76</v>
      </c>
      <c r="B146" s="51" t="s">
        <v>95</v>
      </c>
      <c r="F146" s="35" t="str">
        <f ca="1">IF(OR(OR($A146="",$B146=""),AND($C146&lt;&gt;"",$D146&lt;&gt;"")),"",VLOOKUP(A146,IF({1,0},INDIRECT("达修波得!$"&amp;$E$1&amp;"$2:$"&amp;$E$1&amp;"$15"),达修波得!$A$2:$A$15),2,FALSE))</f>
        <v>磊</v>
      </c>
      <c r="G146" s="35" t="str">
        <f ca="1">IF(OR(OR($A146="",$B146=""),AND($C146&lt;&gt;"",$D146&lt;&gt;"")),"",VLOOKUP(B146,IF({1,0},INDIRECT("达修波得!$"&amp;$E$1&amp;"$2:$"&amp;$E$1&amp;"$15"),达修波得!$A$2:$A$15),2,FALSE))</f>
        <v>贝</v>
      </c>
      <c r="H146" s="35" t="str">
        <f t="shared" ca="1" si="4"/>
        <v>磊贝</v>
      </c>
    </row>
    <row r="147" spans="1:8">
      <c r="A147" s="51" t="s">
        <v>155</v>
      </c>
      <c r="B147" s="51" t="s">
        <v>116</v>
      </c>
      <c r="F147" s="35" t="str">
        <f ca="1">IF(OR(OR($A147="",$B147=""),AND($C147&lt;&gt;"",$D147&lt;&gt;"")),"",VLOOKUP(A147,IF({1,0},INDIRECT("达修波得!$"&amp;$E$1&amp;"$2:$"&amp;$E$1&amp;"$15"),达修波得!$A$2:$A$15),2,FALSE))</f>
        <v>爷</v>
      </c>
      <c r="G147" s="35" t="str">
        <f ca="1">IF(OR(OR($A147="",$B147=""),AND($C147&lt;&gt;"",$D147&lt;&gt;"")),"",VLOOKUP(B147,IF({1,0},INDIRECT("达修波得!$"&amp;$E$1&amp;"$2:$"&amp;$E$1&amp;"$15"),达修波得!$A$2:$A$15),2,FALSE))</f>
        <v>贝</v>
      </c>
      <c r="H147" s="35" t="str">
        <f t="shared" ca="1" si="4"/>
        <v>爷贝</v>
      </c>
    </row>
    <row r="148" spans="1:8">
      <c r="A148" s="4" t="s">
        <v>165</v>
      </c>
      <c r="F148" s="35" t="str">
        <f ca="1">IF(OR(OR($A148="",$B148=""),AND($C148&lt;&gt;"",$D148&lt;&gt;"")),"",VLOOKUP(A148,IF({1,0},INDIRECT("达修波得!$"&amp;$E$1&amp;"$2:$"&amp;$E$1&amp;"$15"),达修波得!$A$2:$A$15),2,FALSE))</f>
        <v/>
      </c>
      <c r="G148" s="35" t="str">
        <f ca="1">IF(OR(OR($A148="",$B148=""),AND($C148&lt;&gt;"",$D148&lt;&gt;"")),"",VLOOKUP(B148,IF({1,0},INDIRECT("达修波得!$"&amp;$E$1&amp;"$2:$"&amp;$E$1&amp;"$15"),达修波得!$A$2:$A$15),2,FALSE))</f>
        <v/>
      </c>
      <c r="H148" s="35" t="str">
        <f t="shared" ca="1" si="4"/>
        <v/>
      </c>
    </row>
    <row r="149" spans="1:8">
      <c r="A149" t="s">
        <v>61</v>
      </c>
      <c r="B149" t="s">
        <v>85</v>
      </c>
      <c r="F149" s="35" t="str">
        <f ca="1">IF(OR(OR($A149="",$B149=""),AND($C149&lt;&gt;"",$D149&lt;&gt;"")),"",VLOOKUP(A149,IF({1,0},INDIRECT("达修波得!$"&amp;$E$1&amp;"$2:$"&amp;$E$1&amp;"$15"),达修波得!$A$2:$A$15),2,FALSE))</f>
        <v>爷</v>
      </c>
      <c r="G149" s="35" t="str">
        <f ca="1">IF(OR(OR($A149="",$B149=""),AND($C149&lt;&gt;"",$D149&lt;&gt;"")),"",VLOOKUP(B149,IF({1,0},INDIRECT("达修波得!$"&amp;$E$1&amp;"$2:$"&amp;$E$1&amp;"$15"),达修波得!$A$2:$A$15),2,FALSE))</f>
        <v>黑</v>
      </c>
      <c r="H149" s="35" t="str">
        <f t="shared" ca="1" si="4"/>
        <v>爷黑</v>
      </c>
    </row>
    <row r="150" spans="1:8">
      <c r="A150" t="s">
        <v>157</v>
      </c>
      <c r="B150" t="s">
        <v>40</v>
      </c>
      <c r="F150" s="35" t="str">
        <f ca="1">IF(OR(OR($A150="",$B150=""),AND($C150&lt;&gt;"",$D150&lt;&gt;"")),"",VLOOKUP(A150,IF({1,0},INDIRECT("达修波得!$"&amp;$E$1&amp;"$2:$"&amp;$E$1&amp;"$15"),达修波得!$A$2:$A$15),2,FALSE))</f>
        <v>宇</v>
      </c>
      <c r="G150" s="35" t="str">
        <f ca="1">IF(OR(OR($A150="",$B150=""),AND($C150&lt;&gt;"",$D150&lt;&gt;"")),"",VLOOKUP(B150,IF({1,0},INDIRECT("达修波得!$"&amp;$E$1&amp;"$2:$"&amp;$E$1&amp;"$15"),达修波得!$A$2:$A$15),2,FALSE))</f>
        <v>二</v>
      </c>
      <c r="H150" s="35" t="str">
        <f t="shared" ref="H150:H154" ca="1" si="5">F150&amp;G150</f>
        <v>宇二</v>
      </c>
    </row>
    <row r="151" spans="1:8">
      <c r="A151" t="s">
        <v>119</v>
      </c>
      <c r="B151" t="s">
        <v>29</v>
      </c>
      <c r="F151" s="35" t="str">
        <f ca="1">IF(OR(OR($A151="",$B151=""),AND($C151&lt;&gt;"",$D151&lt;&gt;"")),"",VLOOKUP(A151,IF({1,0},INDIRECT("达修波得!$"&amp;$E$1&amp;"$2:$"&amp;$E$1&amp;"$15"),达修波得!$A$2:$A$15),2,FALSE))</f>
        <v>二</v>
      </c>
      <c r="G151" s="35" t="str">
        <f ca="1">IF(OR(OR($A151="",$B151=""),AND($C151&lt;&gt;"",$D151&lt;&gt;"")),"",VLOOKUP(B151,IF({1,0},INDIRECT("达修波得!$"&amp;$E$1&amp;"$2:$"&amp;$E$1&amp;"$15"),达修波得!$A$2:$A$15),2,FALSE))</f>
        <v>宇</v>
      </c>
      <c r="H151" s="35" t="str">
        <f t="shared" ca="1" si="5"/>
        <v>二宇</v>
      </c>
    </row>
    <row r="152" spans="1:8">
      <c r="A152" t="s">
        <v>76</v>
      </c>
      <c r="B152" t="s">
        <v>60</v>
      </c>
      <c r="F152" s="35" t="str">
        <f ca="1">IF(OR(OR($A152="",$B152=""),AND($C152&lt;&gt;"",$D152&lt;&gt;"")),"",VLOOKUP(A152,IF({1,0},INDIRECT("达修波得!$"&amp;$E$1&amp;"$2:$"&amp;$E$1&amp;"$15"),达修波得!$A$2:$A$15),2,FALSE))</f>
        <v>磊</v>
      </c>
      <c r="G152" s="35" t="str">
        <f ca="1">IF(OR(OR($A152="",$B152=""),AND($C152&lt;&gt;"",$D152&lt;&gt;"")),"",VLOOKUP(B152,IF({1,0},INDIRECT("达修波得!$"&amp;$E$1&amp;"$2:$"&amp;$E$1&amp;"$15"),达修波得!$A$2:$A$15),2,FALSE))</f>
        <v>黑</v>
      </c>
      <c r="H152" s="35" t="str">
        <f t="shared" ca="1" si="5"/>
        <v>磊黑</v>
      </c>
    </row>
    <row r="153" spans="1:8">
      <c r="A153" s="51" t="s">
        <v>155</v>
      </c>
      <c r="B153" s="51" t="s">
        <v>97</v>
      </c>
      <c r="F153" s="35" t="str">
        <f ca="1">IF(OR(OR($A153="",$B153=""),AND($C153&lt;&gt;"",$D153&lt;&gt;"")),"",VLOOKUP(A153,IF({1,0},INDIRECT("达修波得!$"&amp;$E$1&amp;"$2:$"&amp;$E$1&amp;"$15"),达修波得!$A$2:$A$15),2,FALSE))</f>
        <v>爷</v>
      </c>
      <c r="G153" s="35" t="str">
        <f ca="1">IF(OR(OR($A153="",$B153=""),AND($C153&lt;&gt;"",$D153&lt;&gt;"")),"",VLOOKUP(B153,IF({1,0},INDIRECT("达修波得!$"&amp;$E$1&amp;"$2:$"&amp;$E$1&amp;"$15"),达修波得!$A$2:$A$15),2,FALSE))</f>
        <v>磊</v>
      </c>
      <c r="H153" s="35" t="str">
        <f t="shared" ca="1" si="5"/>
        <v>爷磊</v>
      </c>
    </row>
    <row r="154" spans="1:8">
      <c r="A154" s="51" t="s">
        <v>116</v>
      </c>
      <c r="B154" s="51" t="s">
        <v>95</v>
      </c>
      <c r="F154" s="35" t="str">
        <f ca="1">IF(OR(OR($A154="",$B154=""),AND($C154&lt;&gt;"",$D154&lt;&gt;"")),"",VLOOKUP(A154,IF({1,0},INDIRECT("达修波得!$"&amp;$E$1&amp;"$2:$"&amp;$E$1&amp;"$15"),达修波得!$A$2:$A$15),2,FALSE))</f>
        <v>贝</v>
      </c>
      <c r="G154" s="35" t="str">
        <f ca="1">IF(OR(OR($A154="",$B154=""),AND($C154&lt;&gt;"",$D154&lt;&gt;"")),"",VLOOKUP(B154,IF({1,0},INDIRECT("达修波得!$"&amp;$E$1&amp;"$2:$"&amp;$E$1&amp;"$15"),达修波得!$A$2:$A$15),2,FALSE))</f>
        <v>贝</v>
      </c>
      <c r="H154" s="35" t="str">
        <f t="shared" ca="1" si="5"/>
        <v>贝贝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2018-07-23T05:40:44Z</dcterms:modified>
</cp:coreProperties>
</file>