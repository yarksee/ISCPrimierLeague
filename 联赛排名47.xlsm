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6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<sst xmlns="http://schemas.openxmlformats.org/spreadsheetml/2006/main" count="658" uniqueCount="132">
  <si>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</si>
  <si>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</si>
  <si>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</si>
  <si>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</si>
  <si>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</si>
  <si>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</si>
  <si>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</si>
  <si>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</si>
  <si>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</si>
  <si>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</si>
  <si>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</si>
  <si>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</si>
  <si>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</si>
  <si>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</si>
  <si>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</si>
  <si>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</si>
  <si>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</si>
  <si>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</si>
  <si>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</si>
  <si>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</si>
  <si>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</si>
  <si>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</si>
  <si>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</si>
  <si>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</si>
  <si>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</si>
  <si>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</si>
  <si>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</si>
  <si>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</si>
  <si>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</si>
  <si>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</si>
  <si>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</si>
  <si>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</si>
  <si>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</si>
  <si>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</si>
  <si>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</si>
  <si>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</si>
  <si>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</si>
  <si>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</si>
  <si>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</si>
  <si>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</si>
  <si>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</si>
  <si>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</si>
  <si>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</si>
  <si>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</si>
  <si>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</si>
  <si>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</si>
  <si>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</si>
  <si>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</si>
  <si>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</si>
  <si>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</si>
  <si>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</si>
  <si>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</si>
  <si>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</si>
  <si>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</si>
  <si>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</si>
  <si>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</si>
  <si>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</si>
  <si>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</si>
  <si>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</si>
  <si>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</si>
  <si>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</si>
  <si>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</si>
  <si>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</si>
  <si>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</si>
  <si>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</si>
  <si>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</si>
  <si>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</si>
  <si>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</si>
  <si>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</si>
  <si>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</si>
  <si>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</si>
  <si>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</si>
  <si>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</si>
  <si>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</si>
  <si>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</si>
  <si>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</si>
  <si>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</si>
  <si>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</si>
  <si>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</si>
  <si>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</si>
  <si>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</si>
  <si>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</si>
  <si>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</si>
  <si>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</si>
  <si>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</si>
  <si>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</si>
  <si>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</si>
  <si>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</si>
  <si>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</si>
  <si>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</si>
  <si>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</si>
  <si>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</si>
  <si>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</si>
  <si>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</si>
  <si>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</si>
  <si>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</si>
  <si>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</si>
  <si>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</si>
  <si>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</si>
  <si>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</si>
  <si>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</si>
  <si>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</si>
  <si>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</si>
  <si>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</si>
  <si>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</si>
  <si>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</si>
  <si>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</si>
  <si>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</si>
  <si>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</si>
  <si>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</si>
  <si>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</si>
  <si>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贝西克塔斯</t>
    <phoneticPr fontId="1"/>
  </si>
  <si>
    <t>顿涅茨克矿工</t>
    <phoneticPr fontId="1"/>
  </si>
  <si>
    <t>加拉塔萨雷</t>
    <phoneticPr fontId="1"/>
  </si>
  <si>
    <t>哥本哈根</t>
    <phoneticPr fontId="1"/>
  </si>
  <si>
    <t>圣彼得堡泽尼特</t>
    <phoneticPr fontId="1"/>
  </si>
  <si>
    <t>基辅迪纳摩</t>
    <phoneticPr fontId="1"/>
  </si>
  <si>
    <t>莫斯科中央陆军</t>
    <phoneticPr fontId="1"/>
  </si>
  <si>
    <t>亚特兰大</t>
    <phoneticPr fontId="1"/>
  </si>
  <si>
    <t>那不勒斯</t>
    <phoneticPr fontId="1"/>
  </si>
  <si>
    <t>拉齐奥</t>
    <phoneticPr fontId="1"/>
  </si>
  <si>
    <t>AC米兰</t>
    <phoneticPr fontId="1"/>
  </si>
  <si>
    <t>国际米兰</t>
    <phoneticPr fontId="1"/>
  </si>
  <si>
    <t>博洛尼亚</t>
    <phoneticPr fontId="1"/>
  </si>
  <si>
    <t>尤文图斯</t>
    <phoneticPr fontId="1"/>
  </si>
  <si>
    <t>莱加内斯</t>
    <phoneticPr fontId="1"/>
  </si>
  <si>
    <t>瓦伦西亚</t>
    <phoneticPr fontId="1"/>
  </si>
  <si>
    <t>毕尔巴鄂竞技</t>
    <phoneticPr fontId="1"/>
  </si>
  <si>
    <t>赫塔菲</t>
    <phoneticPr fontId="1"/>
  </si>
  <si>
    <t>塞维利亚</t>
    <phoneticPr fontId="1"/>
  </si>
  <si>
    <t>皇家马德里</t>
    <phoneticPr fontId="1"/>
  </si>
  <si>
    <t>马德里竞技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</si>
</sst>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workbookViewId="0">
      <selection activeCell="I13" sqref="I13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56</v>
      </c>
      <c r="C1" s="25" t="s">
        <v>60</v>
      </c>
      <c r="D1" s="25" t="s">
        <v>54</v>
      </c>
      <c r="E1" s="25" t="s">
        <v>51</v>
      </c>
    </row>
    <row r="2" spans="1:8">
      <c r="A2" s="26" t="s">
        <v>42</v>
      </c>
      <c r="B2" s="27" t="s">
        <v>99</v>
      </c>
      <c r="C2" s="27" t="s">
        <v>81</v>
      </c>
      <c r="D2" s="27" t="s">
        <v>74</v>
      </c>
      <c r="E2" s="27"/>
    </row>
    <row r="3" spans="1:8">
      <c r="A3" s="28" t="s">
        <v>44</v>
      </c>
      <c r="B3" s="27" t="s">
        <v>43</v>
      </c>
      <c r="C3" s="27" t="s">
        <v>82</v>
      </c>
      <c r="D3" s="28" t="s">
        <v>80</v>
      </c>
      <c r="E3" s="27"/>
    </row>
    <row r="4" spans="1:8">
      <c r="A4" s="27" t="s">
        <v>46</v>
      </c>
      <c r="B4" s="27" t="s">
        <v>97</v>
      </c>
      <c r="C4" s="27" t="s">
        <v>84</v>
      </c>
      <c r="D4" s="27" t="s">
        <v>45</v>
      </c>
      <c r="E4" s="27"/>
    </row>
    <row r="5" spans="1:8">
      <c r="A5" s="29" t="s">
        <v>47</v>
      </c>
      <c r="B5" s="27" t="s">
        <v>91</v>
      </c>
      <c r="C5" s="27" t="s">
        <v>85</v>
      </c>
      <c r="D5" s="27" t="s">
        <v>76</v>
      </c>
      <c r="E5" s="27"/>
    </row>
    <row r="6" spans="1:8">
      <c r="A6" s="28" t="s">
        <v>48</v>
      </c>
      <c r="B6" s="27" t="s">
        <v>95</v>
      </c>
      <c r="C6" s="28" t="s">
        <v>87</v>
      </c>
      <c r="D6" s="27" t="s">
        <v>77</v>
      </c>
      <c r="E6" s="27"/>
    </row>
    <row r="7" spans="1:8">
      <c r="A7" s="26" t="s">
        <v>49</v>
      </c>
      <c r="B7" s="28" t="s">
        <v>96</v>
      </c>
      <c r="C7" s="28" t="s">
        <v>89</v>
      </c>
      <c r="D7" s="27" t="s">
        <v>78</v>
      </c>
      <c r="E7" s="27"/>
    </row>
    <row r="8" spans="1:8">
      <c r="A8" s="26" t="s">
        <v>50</v>
      </c>
      <c r="B8" s="28" t="s">
        <v>93</v>
      </c>
      <c r="C8" s="28" t="s">
        <v>90</v>
      </c>
      <c r="D8" s="27" t="s">
        <v>75</v>
      </c>
      <c r="E8" s="27"/>
    </row>
    <row r="12" spans="1:8">
      <c r="B12">
        <f t="shared" ref="B12:G12" ca="1" si="0">SUM(B14:B20)</f>
        <v>33</v>
      </c>
      <c r="C12">
        <f t="shared" ca="1" si="0"/>
        <v>34</v>
      </c>
      <c r="D12">
        <f t="shared" ca="1" si="0"/>
        <v>35</v>
      </c>
      <c r="E12">
        <f t="shared" ca="1" si="0"/>
        <v>36</v>
      </c>
      <c r="F12">
        <f t="shared" ca="1" si="0"/>
        <v>35</v>
      </c>
      <c r="G12">
        <f t="shared" ca="1" si="0"/>
        <v>31</v>
      </c>
      <c r="H12">
        <f ca="1">SUM(H14:H20)</f>
        <v>32</v>
      </c>
    </row>
    <row r="13" spans="1:8">
      <c r="A13" s="40" t="str">
        <f ca="1">"残比"&amp;SUM(B14:H20)/2</f>
        <v>残比118</v>
      </c>
      <c r="B13" s="32" t="s">
        <v>52</v>
      </c>
      <c r="C13" s="32" t="s">
        <v>44</v>
      </c>
      <c r="D13" s="32" t="s">
        <v>53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6</v>
      </c>
      <c r="D14" s="27">
        <f t="shared" ref="D14:H15" ca="1" si="1">D24+D34+D44+D54</f>
        <v>6</v>
      </c>
      <c r="E14" s="27">
        <f t="shared" ca="1" si="1"/>
        <v>6</v>
      </c>
      <c r="F14" s="27">
        <f t="shared" ca="1" si="1"/>
        <v>6</v>
      </c>
      <c r="G14" s="27">
        <f t="shared" ca="1" si="1"/>
        <v>3</v>
      </c>
      <c r="H14" s="27">
        <f t="shared" ca="1" si="1"/>
        <v>6</v>
      </c>
    </row>
    <row r="15" spans="1:8">
      <c r="A15" s="31" t="s">
        <v>44</v>
      </c>
      <c r="B15" s="27">
        <f ca="1">B25+B35+B45+B55</f>
        <v>6</v>
      </c>
      <c r="C15" s="39"/>
      <c r="D15" s="27">
        <f t="shared" ca="1" si="1"/>
        <v>6</v>
      </c>
      <c r="E15" s="27">
        <f t="shared" ca="1" si="1"/>
        <v>6</v>
      </c>
      <c r="F15" s="27">
        <f t="shared" ca="1" si="1"/>
        <v>5</v>
      </c>
      <c r="G15" s="27">
        <f t="shared" ca="1" si="1"/>
        <v>6</v>
      </c>
      <c r="H15" s="27">
        <f t="shared" ca="1" si="1"/>
        <v>5</v>
      </c>
    </row>
    <row r="16" spans="1:8">
      <c r="A16" s="32" t="s">
        <v>46</v>
      </c>
      <c r="B16" s="27">
        <f t="shared" ref="B16:F20" ca="1" si="2">B26+B36+B46+B56</f>
        <v>6</v>
      </c>
      <c r="C16" s="27">
        <f t="shared" ca="1" si="2"/>
        <v>6</v>
      </c>
      <c r="D16" s="39"/>
      <c r="E16" s="27">
        <f t="shared" ref="E16:H16" ca="1" si="3">E26+E36+E46+E56</f>
        <v>6</v>
      </c>
      <c r="F16" s="27">
        <f t="shared" ca="1" si="3"/>
        <v>6</v>
      </c>
      <c r="G16" s="27">
        <f t="shared" ca="1" si="3"/>
        <v>6</v>
      </c>
      <c r="H16" s="27">
        <f t="shared" ca="1" si="3"/>
        <v>5</v>
      </c>
    </row>
    <row r="17" spans="1:8">
      <c r="A17" s="30" t="s">
        <v>47</v>
      </c>
      <c r="B17" s="27">
        <f t="shared" ca="1" si="2"/>
        <v>6</v>
      </c>
      <c r="C17" s="27">
        <f t="shared" ca="1" si="2"/>
        <v>6</v>
      </c>
      <c r="D17" s="27">
        <f t="shared" ca="1" si="2"/>
        <v>6</v>
      </c>
      <c r="E17" s="39"/>
      <c r="F17" s="27">
        <f t="shared" ref="F17:H17" ca="1" si="4">F27+F37+F47+F57</f>
        <v>6</v>
      </c>
      <c r="G17" s="27">
        <f t="shared" ca="1" si="4"/>
        <v>6</v>
      </c>
      <c r="H17" s="27">
        <f t="shared" ca="1" si="4"/>
        <v>6</v>
      </c>
    </row>
    <row r="18" spans="1:8">
      <c r="A18" s="31" t="s">
        <v>48</v>
      </c>
      <c r="B18" s="27">
        <f t="shared" ca="1" si="2"/>
        <v>6</v>
      </c>
      <c r="C18" s="27">
        <f t="shared" ca="1" si="2"/>
        <v>5</v>
      </c>
      <c r="D18" s="27">
        <f t="shared" ca="1" si="2"/>
        <v>6</v>
      </c>
      <c r="E18" s="27">
        <f t="shared" ca="1" si="2"/>
        <v>6</v>
      </c>
      <c r="F18" s="39"/>
      <c r="G18" s="27">
        <f t="shared" ref="G18:H18" ca="1" si="5">G28+G38+G48+G58</f>
        <v>6</v>
      </c>
      <c r="H18" s="27">
        <f t="shared" ca="1" si="5"/>
        <v>6</v>
      </c>
    </row>
    <row r="19" spans="1:8">
      <c r="A19" s="30" t="s">
        <v>49</v>
      </c>
      <c r="B19" s="27">
        <f t="shared" ca="1" si="2"/>
        <v>3</v>
      </c>
      <c r="C19" s="27">
        <f t="shared" ca="1" si="2"/>
        <v>6</v>
      </c>
      <c r="D19" s="27">
        <f t="shared" ca="1" si="2"/>
        <v>6</v>
      </c>
      <c r="E19" s="27">
        <f t="shared" ca="1" si="2"/>
        <v>6</v>
      </c>
      <c r="F19" s="27">
        <f t="shared" ca="1" si="2"/>
        <v>6</v>
      </c>
      <c r="G19" s="39"/>
      <c r="H19" s="27">
        <f t="shared" ref="H19" ca="1" si="6">H29+H39+H49+H59</f>
        <v>4</v>
      </c>
    </row>
    <row r="20" spans="1:8">
      <c r="A20" s="30" t="s">
        <v>50</v>
      </c>
      <c r="B20" s="27">
        <f t="shared" ca="1" si="2"/>
        <v>6</v>
      </c>
      <c r="C20" s="27">
        <f t="shared" ca="1" si="2"/>
        <v>5</v>
      </c>
      <c r="D20" s="27">
        <f t="shared" ca="1" si="2"/>
        <v>5</v>
      </c>
      <c r="E20" s="27">
        <f t="shared" ca="1" si="2"/>
        <v>6</v>
      </c>
      <c r="F20" s="27">
        <f t="shared" ca="1" si="2"/>
        <v>6</v>
      </c>
      <c r="G20" s="27">
        <f ca="1">G30+G40+G50+G60</f>
        <v>4</v>
      </c>
      <c r="H20" s="39"/>
    </row>
    <row r="23" spans="1:8" outlineLevel="1">
      <c r="A23" s="36" t="s">
        <v>56</v>
      </c>
      <c r="B23" s="32" t="s">
        <v>52</v>
      </c>
      <c r="C23" s="32" t="s">
        <v>44</v>
      </c>
      <c r="D23" s="32" t="s">
        <v>53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2</v>
      </c>
      <c r="D24" s="27">
        <f t="shared" ref="D24:H28" ca="1" si="7">COUNTIF(INDIRECT($A$23&amp;"!$H:$H"),$A24&amp;D$23)+COUNTIF(INDIRECT($A$23&amp;"!$H:$H"),D$23&amp;$A24)</f>
        <v>2</v>
      </c>
      <c r="E24" s="27">
        <f t="shared" ca="1" si="7"/>
        <v>2</v>
      </c>
      <c r="F24" s="27">
        <f t="shared" ca="1" si="7"/>
        <v>2</v>
      </c>
      <c r="G24" s="27">
        <f t="shared" ca="1" si="7"/>
        <v>1</v>
      </c>
      <c r="H24" s="27">
        <f t="shared" ca="1" si="7"/>
        <v>2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2</v>
      </c>
      <c r="C25" s="33"/>
      <c r="D25" s="27">
        <f t="shared" ca="1" si="7"/>
        <v>2</v>
      </c>
      <c r="E25" s="27">
        <f t="shared" ca="1" si="7"/>
        <v>2</v>
      </c>
      <c r="F25" s="27">
        <f t="shared" ca="1" si="7"/>
        <v>1</v>
      </c>
      <c r="G25" s="27">
        <f t="shared" ca="1" si="7"/>
        <v>2</v>
      </c>
      <c r="H25" s="27">
        <f t="shared" ca="1" si="7"/>
        <v>2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2</v>
      </c>
      <c r="C26" s="27">
        <f ca="1">COUNTIF(INDIRECT($A$23&amp;"!$H:$H"),$A26&amp;C$23)+COUNTIF(INDIRECT($A$23&amp;"!$H:$H"),C$23&amp;$A26)</f>
        <v>2</v>
      </c>
      <c r="D26" s="33"/>
      <c r="E26" s="27">
        <f t="shared" ca="1" si="7"/>
        <v>2</v>
      </c>
      <c r="F26" s="27">
        <f t="shared" ca="1" si="7"/>
        <v>2</v>
      </c>
      <c r="G26" s="27">
        <f t="shared" ca="1" si="7"/>
        <v>2</v>
      </c>
      <c r="H26" s="27">
        <f t="shared" ca="1" si="7"/>
        <v>1</v>
      </c>
    </row>
    <row r="27" spans="1:8" outlineLevel="1">
      <c r="A27" s="30" t="s">
        <v>47</v>
      </c>
      <c r="B27" s="27">
        <f t="shared" ca="1" si="8"/>
        <v>2</v>
      </c>
      <c r="C27" s="27">
        <f t="shared" ca="1" si="8"/>
        <v>2</v>
      </c>
      <c r="D27" s="27">
        <f t="shared" ca="1" si="8"/>
        <v>2</v>
      </c>
      <c r="E27" s="33"/>
      <c r="F27" s="27">
        <f t="shared" ca="1" si="7"/>
        <v>2</v>
      </c>
      <c r="G27" s="27">
        <f t="shared" ca="1" si="7"/>
        <v>2</v>
      </c>
      <c r="H27" s="27">
        <f t="shared" ca="1" si="7"/>
        <v>2</v>
      </c>
    </row>
    <row r="28" spans="1:8" outlineLevel="1">
      <c r="A28" s="31" t="s">
        <v>48</v>
      </c>
      <c r="B28" s="27">
        <f t="shared" ca="1" si="8"/>
        <v>2</v>
      </c>
      <c r="C28" s="27">
        <f t="shared" ca="1" si="8"/>
        <v>1</v>
      </c>
      <c r="D28" s="27">
        <f t="shared" ca="1" si="8"/>
        <v>2</v>
      </c>
      <c r="E28" s="27">
        <f t="shared" ca="1" si="8"/>
        <v>2</v>
      </c>
      <c r="F28" s="33"/>
      <c r="G28" s="27">
        <f t="shared" ca="1" si="7"/>
        <v>2</v>
      </c>
      <c r="H28" s="27">
        <f t="shared" ca="1" si="7"/>
        <v>2</v>
      </c>
    </row>
    <row r="29" spans="1:8" outlineLevel="1">
      <c r="A29" s="30" t="s">
        <v>49</v>
      </c>
      <c r="B29" s="27">
        <f t="shared" ca="1" si="8"/>
        <v>1</v>
      </c>
      <c r="C29" s="27">
        <f t="shared" ca="1" si="8"/>
        <v>2</v>
      </c>
      <c r="D29" s="27">
        <f t="shared" ca="1" si="8"/>
        <v>2</v>
      </c>
      <c r="E29" s="27">
        <f t="shared" ca="1" si="8"/>
        <v>2</v>
      </c>
      <c r="F29" s="27">
        <f ca="1">COUNTIF(INDIRECT($A$23&amp;"!$H:$H"),$A29&amp;F$23)+COUNTIF(INDIRECT($A$23&amp;"!$H:$H"),F$23&amp;$A29)</f>
        <v>2</v>
      </c>
      <c r="G29" s="33"/>
      <c r="H29" s="27">
        <f ca="1">COUNTIF(INDIRECT($A$23&amp;"!$H:$H"),$A29&amp;H$23)+COUNTIF(INDIRECT($A$23&amp;"!$H:$H"),H$23&amp;$A29)</f>
        <v>1</v>
      </c>
    </row>
    <row r="30" spans="1:8" outlineLevel="1">
      <c r="A30" s="30" t="s">
        <v>50</v>
      </c>
      <c r="B30" s="27">
        <f t="shared" ca="1" si="8"/>
        <v>2</v>
      </c>
      <c r="C30" s="27">
        <f t="shared" ca="1" si="8"/>
        <v>2</v>
      </c>
      <c r="D30" s="27">
        <f t="shared" ca="1" si="8"/>
        <v>1</v>
      </c>
      <c r="E30" s="27">
        <f t="shared" ca="1" si="8"/>
        <v>2</v>
      </c>
      <c r="F30" s="27">
        <f t="shared" ref="F30:G30" ca="1" si="9">COUNTIF(INDIRECT($A$23&amp;"!$H:$H"),$A30&amp;F$23)+COUNTIF(INDIRECT($A$23&amp;"!$H:$H"),F$23&amp;$A30)</f>
        <v>2</v>
      </c>
      <c r="G30" s="27">
        <f t="shared" ca="1" si="9"/>
        <v>1</v>
      </c>
      <c r="H30" s="33"/>
    </row>
    <row r="31" spans="1:8" outlineLevel="1"/>
    <row r="32" spans="1:8" outlineLevel="1"/>
    <row r="33" spans="1:8" outlineLevel="1">
      <c r="A33" s="34" t="s">
        <v>55</v>
      </c>
      <c r="B33" s="32" t="s">
        <v>52</v>
      </c>
      <c r="C33" s="32" t="s">
        <v>44</v>
      </c>
      <c r="D33" s="32" t="s">
        <v>53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2</v>
      </c>
      <c r="D34" s="27">
        <f t="shared" ref="D34:H39" ca="1" si="10">COUNTIF(INDIRECT($A$33&amp;"!$H:$H"),$A34&amp;D$23)+COUNTIF(INDIRECT($A$33&amp;"!$H:$H"),D$23&amp;$A34)</f>
        <v>2</v>
      </c>
      <c r="E34" s="27">
        <f t="shared" ca="1" si="10"/>
        <v>2</v>
      </c>
      <c r="F34" s="27">
        <f t="shared" ca="1" si="10"/>
        <v>2</v>
      </c>
      <c r="G34" s="27">
        <f t="shared" ca="1" si="10"/>
        <v>1</v>
      </c>
      <c r="H34" s="27">
        <f t="shared" ca="1" si="10"/>
        <v>2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2</v>
      </c>
      <c r="C35" s="33"/>
      <c r="D35" s="27">
        <f t="shared" ca="1" si="10"/>
        <v>2</v>
      </c>
      <c r="E35" s="27">
        <f t="shared" ca="1" si="10"/>
        <v>2</v>
      </c>
      <c r="F35" s="27">
        <f t="shared" ca="1" si="10"/>
        <v>2</v>
      </c>
      <c r="G35" s="27">
        <f t="shared" ca="1" si="10"/>
        <v>2</v>
      </c>
      <c r="H35" s="27">
        <f t="shared" ca="1" si="10"/>
        <v>2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2</v>
      </c>
      <c r="C36" s="27">
        <f t="shared" ca="1" si="11"/>
        <v>2</v>
      </c>
      <c r="D36" s="33"/>
      <c r="E36" s="27">
        <f t="shared" ca="1" si="10"/>
        <v>2</v>
      </c>
      <c r="F36" s="27">
        <f t="shared" ca="1" si="10"/>
        <v>2</v>
      </c>
      <c r="G36" s="27">
        <f t="shared" ca="1" si="10"/>
        <v>2</v>
      </c>
      <c r="H36" s="27">
        <f t="shared" ca="1" si="10"/>
        <v>2</v>
      </c>
    </row>
    <row r="37" spans="1:8" outlineLevel="1">
      <c r="A37" s="30" t="s">
        <v>47</v>
      </c>
      <c r="B37" s="27">
        <f t="shared" ca="1" si="11"/>
        <v>2</v>
      </c>
      <c r="C37" s="27">
        <f t="shared" ca="1" si="11"/>
        <v>2</v>
      </c>
      <c r="D37" s="27">
        <f t="shared" ca="1" si="11"/>
        <v>2</v>
      </c>
      <c r="E37" s="33"/>
      <c r="F37" s="27">
        <f t="shared" ca="1" si="10"/>
        <v>2</v>
      </c>
      <c r="G37" s="27">
        <f t="shared" ca="1" si="10"/>
        <v>2</v>
      </c>
      <c r="H37" s="27">
        <f t="shared" ca="1" si="10"/>
        <v>2</v>
      </c>
    </row>
    <row r="38" spans="1:8" outlineLevel="1">
      <c r="A38" s="31" t="s">
        <v>48</v>
      </c>
      <c r="B38" s="27">
        <f t="shared" ca="1" si="11"/>
        <v>2</v>
      </c>
      <c r="C38" s="27">
        <f t="shared" ca="1" si="11"/>
        <v>2</v>
      </c>
      <c r="D38" s="27">
        <f t="shared" ca="1" si="11"/>
        <v>2</v>
      </c>
      <c r="E38" s="27">
        <f t="shared" ca="1" si="11"/>
        <v>2</v>
      </c>
      <c r="F38" s="33"/>
      <c r="G38" s="27">
        <f t="shared" ca="1" si="10"/>
        <v>2</v>
      </c>
      <c r="H38" s="27">
        <f t="shared" ca="1" si="10"/>
        <v>2</v>
      </c>
    </row>
    <row r="39" spans="1:8" outlineLevel="1">
      <c r="A39" s="30" t="s">
        <v>49</v>
      </c>
      <c r="B39" s="27">
        <f t="shared" ca="1" si="11"/>
        <v>1</v>
      </c>
      <c r="C39" s="27">
        <f t="shared" ca="1" si="11"/>
        <v>2</v>
      </c>
      <c r="D39" s="27">
        <f t="shared" ca="1" si="11"/>
        <v>2</v>
      </c>
      <c r="E39" s="27">
        <f t="shared" ca="1" si="11"/>
        <v>2</v>
      </c>
      <c r="F39" s="27">
        <f t="shared" ca="1" si="11"/>
        <v>2</v>
      </c>
      <c r="G39" s="33"/>
      <c r="H39" s="27">
        <f t="shared" ca="1" si="10"/>
        <v>1</v>
      </c>
    </row>
    <row r="40" spans="1:8" outlineLevel="1">
      <c r="A40" s="30" t="s">
        <v>50</v>
      </c>
      <c r="B40" s="27">
        <f t="shared" ca="1" si="11"/>
        <v>2</v>
      </c>
      <c r="C40" s="27">
        <f t="shared" ca="1" si="11"/>
        <v>2</v>
      </c>
      <c r="D40" s="27">
        <f t="shared" ca="1" si="11"/>
        <v>2</v>
      </c>
      <c r="E40" s="27">
        <f t="shared" ca="1" si="11"/>
        <v>2</v>
      </c>
      <c r="F40" s="27">
        <f t="shared" ca="1" si="11"/>
        <v>2</v>
      </c>
      <c r="G40" s="27">
        <f ca="1">COUNTIF(INDIRECT($A$33&amp;"!$H:$H"),$A40&amp;G$23)+COUNTIF(INDIRECT($A$33&amp;"!$H:$H"),G$23&amp;$A40)</f>
        <v>1</v>
      </c>
      <c r="H40" s="33"/>
    </row>
    <row r="41" spans="1:8" outlineLevel="1"/>
    <row r="42" spans="1:8" outlineLevel="1"/>
    <row r="43" spans="1:8" outlineLevel="1">
      <c r="A43" s="34" t="s">
        <v>54</v>
      </c>
      <c r="B43" s="32" t="s">
        <v>52</v>
      </c>
      <c r="C43" s="32" t="s">
        <v>44</v>
      </c>
      <c r="D43" s="32" t="s">
        <v>53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2</v>
      </c>
      <c r="D44" s="27">
        <f t="shared" ref="D44:H49" ca="1" si="12">COUNTIF(INDIRECT($A$43&amp;"!$H:$H"),$A44&amp;D$23)+COUNTIF(INDIRECT($A$43&amp;"!$H:$H"),D$23&amp;$A44)</f>
        <v>2</v>
      </c>
      <c r="E44" s="27">
        <f t="shared" ca="1" si="12"/>
        <v>2</v>
      </c>
      <c r="F44" s="27">
        <f t="shared" ca="1" si="12"/>
        <v>2</v>
      </c>
      <c r="G44" s="27">
        <f t="shared" ca="1" si="12"/>
        <v>1</v>
      </c>
      <c r="H44" s="27">
        <f t="shared" ca="1" si="12"/>
        <v>2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2</v>
      </c>
      <c r="C45" s="33"/>
      <c r="D45" s="27">
        <f t="shared" ca="1" si="12"/>
        <v>2</v>
      </c>
      <c r="E45" s="27">
        <f t="shared" ca="1" si="12"/>
        <v>2</v>
      </c>
      <c r="F45" s="27">
        <f t="shared" ca="1" si="12"/>
        <v>2</v>
      </c>
      <c r="G45" s="27">
        <f t="shared" ca="1" si="12"/>
        <v>2</v>
      </c>
      <c r="H45" s="27">
        <f t="shared" ca="1" si="12"/>
        <v>1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2</v>
      </c>
      <c r="C46" s="27">
        <f t="shared" ca="1" si="13"/>
        <v>2</v>
      </c>
      <c r="D46" s="33"/>
      <c r="E46" s="27">
        <f t="shared" ca="1" si="12"/>
        <v>2</v>
      </c>
      <c r="F46" s="27">
        <f t="shared" ca="1" si="12"/>
        <v>2</v>
      </c>
      <c r="G46" s="27">
        <f t="shared" ca="1" si="12"/>
        <v>2</v>
      </c>
      <c r="H46" s="27">
        <f t="shared" ca="1" si="12"/>
        <v>2</v>
      </c>
    </row>
    <row r="47" spans="1:8" outlineLevel="1">
      <c r="A47" s="30" t="s">
        <v>47</v>
      </c>
      <c r="B47" s="27">
        <f t="shared" ca="1" si="13"/>
        <v>2</v>
      </c>
      <c r="C47" s="27">
        <f t="shared" ca="1" si="13"/>
        <v>2</v>
      </c>
      <c r="D47" s="27">
        <f t="shared" ca="1" si="13"/>
        <v>2</v>
      </c>
      <c r="E47" s="33"/>
      <c r="F47" s="27">
        <f t="shared" ca="1" si="12"/>
        <v>2</v>
      </c>
      <c r="G47" s="27">
        <f t="shared" ca="1" si="12"/>
        <v>2</v>
      </c>
      <c r="H47" s="27">
        <f t="shared" ca="1" si="12"/>
        <v>2</v>
      </c>
    </row>
    <row r="48" spans="1:8" outlineLevel="1">
      <c r="A48" s="31" t="s">
        <v>48</v>
      </c>
      <c r="B48" s="27">
        <f t="shared" ca="1" si="13"/>
        <v>2</v>
      </c>
      <c r="C48" s="27">
        <f t="shared" ca="1" si="13"/>
        <v>2</v>
      </c>
      <c r="D48" s="27">
        <f t="shared" ca="1" si="13"/>
        <v>2</v>
      </c>
      <c r="E48" s="27">
        <f t="shared" ca="1" si="13"/>
        <v>2</v>
      </c>
      <c r="F48" s="33"/>
      <c r="G48" s="27">
        <f t="shared" ca="1" si="12"/>
        <v>2</v>
      </c>
      <c r="H48" s="27">
        <f t="shared" ca="1" si="12"/>
        <v>2</v>
      </c>
    </row>
    <row r="49" spans="1:8" outlineLevel="1">
      <c r="A49" s="30" t="s">
        <v>49</v>
      </c>
      <c r="B49" s="27">
        <f t="shared" ca="1" si="13"/>
        <v>1</v>
      </c>
      <c r="C49" s="27">
        <f t="shared" ca="1" si="13"/>
        <v>2</v>
      </c>
      <c r="D49" s="27">
        <f t="shared" ca="1" si="13"/>
        <v>2</v>
      </c>
      <c r="E49" s="27">
        <f t="shared" ca="1" si="13"/>
        <v>2</v>
      </c>
      <c r="F49" s="27">
        <f t="shared" ca="1" si="13"/>
        <v>2</v>
      </c>
      <c r="G49" s="33"/>
      <c r="H49" s="27">
        <f t="shared" ca="1" si="12"/>
        <v>2</v>
      </c>
    </row>
    <row r="50" spans="1:8" outlineLevel="1">
      <c r="A50" s="30" t="s">
        <v>50</v>
      </c>
      <c r="B50" s="27">
        <f t="shared" ca="1" si="13"/>
        <v>2</v>
      </c>
      <c r="C50" s="27">
        <f t="shared" ca="1" si="13"/>
        <v>1</v>
      </c>
      <c r="D50" s="27">
        <f t="shared" ca="1" si="13"/>
        <v>2</v>
      </c>
      <c r="E50" s="27">
        <f t="shared" ca="1" si="13"/>
        <v>2</v>
      </c>
      <c r="F50" s="27">
        <f t="shared" ca="1" si="13"/>
        <v>2</v>
      </c>
      <c r="G50" s="27">
        <f ca="1">COUNTIF(INDIRECT($A$43&amp;"!$H:$H"),$A50&amp;G$23)+COUNTIF(INDIRECT($A$43&amp;"!$H:$H"),G$23&amp;$A50)</f>
        <v>2</v>
      </c>
      <c r="H50" s="33"/>
    </row>
    <row r="51" spans="1:8" outlineLevel="1"/>
    <row r="52" spans="1:8" outlineLevel="1"/>
    <row r="53" spans="1:8" outlineLevel="1">
      <c r="A53" s="36" t="s">
        <v>51</v>
      </c>
      <c r="B53" s="32" t="s">
        <v>52</v>
      </c>
      <c r="C53" s="32" t="s">
        <v>44</v>
      </c>
      <c r="D53" s="32" t="s">
        <v>53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0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0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0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0</v>
      </c>
      <c r="C57" s="27">
        <f t="shared" ca="1" si="15"/>
        <v>0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0</v>
      </c>
      <c r="H57" s="27">
        <f t="shared" ca="1" si="14"/>
        <v>0</v>
      </c>
    </row>
    <row r="58" spans="1:8" outlineLevel="1">
      <c r="A58" s="31" t="s">
        <v>48</v>
      </c>
      <c r="B58" s="27">
        <f t="shared" ca="1" si="15"/>
        <v>0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0</v>
      </c>
      <c r="H58" s="27">
        <f t="shared" ca="1" si="14"/>
        <v>0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0</v>
      </c>
      <c r="D59" s="27">
        <f t="shared" ca="1" si="15"/>
        <v>0</v>
      </c>
      <c r="E59" s="27">
        <f t="shared" ca="1" si="15"/>
        <v>0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50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0</v>
      </c>
      <c r="F60" s="27">
        <f t="shared" ca="1" si="15"/>
        <v>0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B13" sqref="B13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61</v>
      </c>
      <c r="M1" s="22"/>
    </row>
    <row r="2" spans="1:13">
      <c r="A2" s="3">
        <v>1</v>
      </c>
      <c r="B2" s="2" t="s">
        <v>125</v>
      </c>
      <c r="C2" s="2">
        <v>1</v>
      </c>
      <c r="D2" s="2">
        <v>1</v>
      </c>
      <c r="E2" s="2">
        <v>0</v>
      </c>
      <c r="F2" s="2">
        <v>0</v>
      </c>
      <c r="G2" s="2">
        <v>2</v>
      </c>
      <c r="H2" s="2">
        <v>0</v>
      </c>
      <c r="I2" s="2">
        <v>2</v>
      </c>
      <c r="J2" s="9">
        <v>3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  <c r="M2" s="22"/>
    </row>
    <row r="3" spans="1:13">
      <c r="A3" s="3">
        <v>2</v>
      </c>
      <c r="B3" s="2" t="s">
        <v>126</v>
      </c>
      <c r="C3" s="2">
        <v>1</v>
      </c>
      <c r="D3" s="2">
        <v>1</v>
      </c>
      <c r="E3" s="2">
        <v>0</v>
      </c>
      <c r="F3" s="2">
        <v>0</v>
      </c>
      <c r="G3" s="2">
        <v>1</v>
      </c>
      <c r="H3" s="2">
        <v>0</v>
      </c>
      <c r="I3" s="2">
        <v>1</v>
      </c>
      <c r="J3" s="2">
        <v>3</v>
      </c>
      <c r="K3" s="23" t="str">
        <f t="shared" si="0"/>
        <v/>
      </c>
      <c r="L3" s="22">
        <f t="shared" ref="L3:L8" si="1">((COUNTA(A$2:A$15)-1)*2-C3)*3+J3</f>
        <v>36</v>
      </c>
      <c r="M3" s="22"/>
    </row>
    <row r="4" spans="1:13">
      <c r="A4" s="3">
        <v>3</v>
      </c>
      <c r="B4" s="2" t="s">
        <v>127</v>
      </c>
      <c r="C4" s="2">
        <v>2</v>
      </c>
      <c r="D4" s="2">
        <v>1</v>
      </c>
      <c r="E4" s="2">
        <v>0</v>
      </c>
      <c r="F4" s="2">
        <v>1</v>
      </c>
      <c r="G4" s="2">
        <v>2</v>
      </c>
      <c r="H4" s="2">
        <v>3</v>
      </c>
      <c r="I4" s="2">
        <v>-1</v>
      </c>
      <c r="J4" s="2">
        <v>3</v>
      </c>
      <c r="K4" s="23" t="str">
        <f t="shared" si="0"/>
        <v/>
      </c>
      <c r="L4" s="22">
        <f t="shared" si="1"/>
        <v>33</v>
      </c>
      <c r="M4" s="22"/>
    </row>
    <row r="5" spans="1:13">
      <c r="A5" s="3">
        <v>4</v>
      </c>
      <c r="B5" s="2" t="s">
        <v>128</v>
      </c>
      <c r="C5" s="2">
        <v>1</v>
      </c>
      <c r="D5" s="2">
        <v>0</v>
      </c>
      <c r="E5" s="2">
        <v>1</v>
      </c>
      <c r="F5" s="2">
        <v>0</v>
      </c>
      <c r="G5" s="2">
        <v>2</v>
      </c>
      <c r="H5" s="2">
        <v>2</v>
      </c>
      <c r="I5" s="2">
        <v>0</v>
      </c>
      <c r="J5" s="2">
        <v>1</v>
      </c>
      <c r="K5" s="23" t="str">
        <f t="shared" si="0"/>
        <v/>
      </c>
      <c r="L5" s="22">
        <f t="shared" si="1"/>
        <v>34</v>
      </c>
      <c r="M5" s="22"/>
    </row>
    <row r="6" spans="1:13">
      <c r="A6" s="3">
        <v>5</v>
      </c>
      <c r="B6" s="2" t="s">
        <v>129</v>
      </c>
      <c r="C6" s="2">
        <v>1</v>
      </c>
      <c r="D6" s="2">
        <v>0</v>
      </c>
      <c r="E6" s="2">
        <v>1</v>
      </c>
      <c r="F6" s="2">
        <v>0</v>
      </c>
      <c r="G6" s="2">
        <v>2</v>
      </c>
      <c r="H6" s="2">
        <v>2</v>
      </c>
      <c r="I6" s="2">
        <v>0</v>
      </c>
      <c r="J6" s="2">
        <v>1</v>
      </c>
      <c r="K6" s="23" t="str">
        <f t="shared" si="0"/>
        <v/>
      </c>
      <c r="L6" s="22">
        <f t="shared" si="1"/>
        <v>34</v>
      </c>
      <c r="M6" s="22"/>
    </row>
    <row r="7" spans="1:13">
      <c r="A7" s="3">
        <v>6</v>
      </c>
      <c r="B7" s="2" t="s">
        <v>130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  <c r="M7" s="22"/>
    </row>
    <row r="8" spans="1:13">
      <c r="A8" s="3">
        <v>7</v>
      </c>
      <c r="B8" s="2" t="s">
        <v>131</v>
      </c>
      <c r="C8" s="2">
        <v>2</v>
      </c>
      <c r="D8" s="2">
        <v>0</v>
      </c>
      <c r="E8" s="2">
        <v>0</v>
      </c>
      <c r="F8" s="2">
        <v>2</v>
      </c>
      <c r="G8" s="2">
        <v>1</v>
      </c>
      <c r="H8" s="2">
        <v>3</v>
      </c>
      <c r="I8" s="2">
        <v>-2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30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E12" sqref="E12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61</v>
      </c>
    </row>
    <row r="2" spans="1:12">
      <c r="A2" s="3">
        <v>1</v>
      </c>
      <c r="B2" s="2" t="s">
        <v>111</v>
      </c>
      <c r="C2" s="2">
        <v>1</v>
      </c>
      <c r="D2" s="2">
        <v>1</v>
      </c>
      <c r="E2" s="2">
        <v>0</v>
      </c>
      <c r="F2" s="2">
        <v>0</v>
      </c>
      <c r="G2" s="2">
        <v>1</v>
      </c>
      <c r="H2" s="2">
        <v>0</v>
      </c>
      <c r="I2" s="2">
        <v>1</v>
      </c>
      <c r="J2" s="9">
        <v>3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112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113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114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115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116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117</v>
      </c>
      <c r="C8" s="2">
        <v>1</v>
      </c>
      <c r="D8" s="2">
        <v>0</v>
      </c>
      <c r="E8" s="2">
        <v>0</v>
      </c>
      <c r="F8" s="2">
        <v>1</v>
      </c>
      <c r="G8" s="2">
        <v>0</v>
      </c>
      <c r="H8" s="2">
        <v>1</v>
      </c>
      <c r="I8" s="2">
        <v>-1</v>
      </c>
      <c r="J8" s="10">
        <v>0</v>
      </c>
      <c r="K8" s="23" t="str">
        <f t="shared" si="0"/>
        <v/>
      </c>
      <c r="L8" s="22">
        <f t="shared" si="1"/>
        <v>33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8" sqref="K18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61</v>
      </c>
    </row>
    <row r="2" spans="1:12">
      <c r="A2" s="3">
        <v>1</v>
      </c>
      <c r="B2" s="2" t="s">
        <v>118</v>
      </c>
      <c r="C2" s="2">
        <v>1</v>
      </c>
      <c r="D2" s="2">
        <v>1</v>
      </c>
      <c r="E2" s="2">
        <v>0</v>
      </c>
      <c r="F2" s="2">
        <v>0</v>
      </c>
      <c r="G2" s="2">
        <v>4</v>
      </c>
      <c r="H2" s="2">
        <v>1</v>
      </c>
      <c r="I2" s="2">
        <v>3</v>
      </c>
      <c r="J2" s="9">
        <v>3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119</v>
      </c>
      <c r="C3" s="2">
        <v>1</v>
      </c>
      <c r="D3" s="2">
        <v>1</v>
      </c>
      <c r="E3" s="2">
        <v>0</v>
      </c>
      <c r="F3" s="2">
        <v>0</v>
      </c>
      <c r="G3" s="2">
        <v>3</v>
      </c>
      <c r="H3" s="2">
        <v>1</v>
      </c>
      <c r="I3" s="2">
        <v>2</v>
      </c>
      <c r="J3" s="2">
        <v>3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120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121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122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123</v>
      </c>
      <c r="C7" s="2">
        <v>1</v>
      </c>
      <c r="D7" s="2">
        <v>0</v>
      </c>
      <c r="E7" s="2">
        <v>0</v>
      </c>
      <c r="F7" s="2">
        <v>1</v>
      </c>
      <c r="G7" s="2">
        <v>1</v>
      </c>
      <c r="H7" s="2">
        <v>3</v>
      </c>
      <c r="I7" s="2">
        <v>-2</v>
      </c>
      <c r="J7" s="2">
        <v>0</v>
      </c>
      <c r="K7" s="23" t="str">
        <f t="shared" si="0"/>
        <v/>
      </c>
      <c r="L7" s="22">
        <f t="shared" si="1"/>
        <v>33</v>
      </c>
    </row>
    <row r="8" spans="1:12">
      <c r="A8" s="3">
        <v>7</v>
      </c>
      <c r="B8" s="2" t="s">
        <v>124</v>
      </c>
      <c r="C8" s="2">
        <v>1</v>
      </c>
      <c r="D8" s="2">
        <v>0</v>
      </c>
      <c r="E8" s="2">
        <v>0</v>
      </c>
      <c r="F8" s="2">
        <v>1</v>
      </c>
      <c r="G8" s="2">
        <v>1</v>
      </c>
      <c r="H8" s="2">
        <v>4</v>
      </c>
      <c r="I8" s="2">
        <v>-3</v>
      </c>
      <c r="J8" s="10">
        <v>0</v>
      </c>
      <c r="K8" s="23" t="str">
        <f t="shared" si="0"/>
        <v/>
      </c>
      <c r="L8" s="22">
        <f t="shared" si="1"/>
        <v>33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H12" sqref="H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65</v>
      </c>
      <c r="C1" s="42" t="s">
        <v>66</v>
      </c>
      <c r="D1" s="42" t="s">
        <v>67</v>
      </c>
      <c r="E1" s="42" t="s">
        <v>20</v>
      </c>
      <c r="F1" s="42" t="s">
        <v>68</v>
      </c>
      <c r="G1" s="42" t="s">
        <v>69</v>
      </c>
      <c r="H1" s="42" t="s">
        <v>22</v>
      </c>
      <c r="I1" s="42" t="s">
        <v>70</v>
      </c>
      <c r="J1" s="42" t="s">
        <v>71</v>
      </c>
      <c r="K1" s="24">
        <v>1</v>
      </c>
      <c r="L1" s="21" t="s">
        <v>61</v>
      </c>
    </row>
    <row r="2" spans="1:12">
      <c r="A2" s="3">
        <v>1</v>
      </c>
      <c r="B2" s="2" t="s">
        <v>104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109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110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10" workbookViewId="0">
      <selection activeCell="D33" sqref="D33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94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ca="1">F2&amp;G2</f>
        <v>黑爷</v>
      </c>
    </row>
    <row r="3" spans="1:8">
      <c r="A3" t="s">
        <v>92</v>
      </c>
      <c r="B3" t="s">
        <v>27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ref="H3:H66" ca="1" si="0">F3&amp;G3</f>
        <v>宇举</v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98</v>
      </c>
      <c r="B5" t="s">
        <v>13</v>
      </c>
      <c r="F5" s="35" t="str">
        <f ca="1">IF(OR(OR($A5="",$B5=""),AND($C5&lt;&gt;"",$D5&lt;&gt;"")),"",VLOOKUP(A5,IF({1,0},INDIRECT("达修波得!$"&amp;$E$1&amp;"$2:$"&amp;$E$1&amp;"$8"),达修波得!$A$2:$A$8),2,FALSE))</f>
        <v>贝</v>
      </c>
      <c r="G5" s="35" t="str">
        <f ca="1">IF(OR(OR($A5="",$B5=""),AND($C5&lt;&gt;"",$D5&lt;&gt;"")),"",VLOOKUP(B5,IF({1,0},INDIRECT("达修波得!$"&amp;$E$1&amp;"$2:$"&amp;$E$1&amp;"$8"),达修波得!$A$2:$A$8),2,FALSE))</f>
        <v>磊</v>
      </c>
      <c r="H5" s="35" t="str">
        <f t="shared" ca="1" si="0"/>
        <v>贝磊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94</v>
      </c>
      <c r="B8" t="s">
        <v>29</v>
      </c>
      <c r="F8" s="35" t="str">
        <f ca="1">IF(OR(OR($A8="",$B8=""),AND($C8&lt;&gt;"",$D8&lt;&gt;"")),"",VLOOKUP(A8,IF({1,0},INDIRECT("达修波得!$"&amp;$E$1&amp;"$2:$"&amp;$E$1&amp;"$8"),达修波得!$A$2:$A$8),2,FALSE))</f>
        <v>爷</v>
      </c>
      <c r="G8" s="35" t="str">
        <f ca="1">IF(OR(OR($A8="",$B8=""),AND($C8&lt;&gt;"",$D8&lt;&gt;"")),"",VLOOKUP(B8,IF({1,0},INDIRECT("达修波得!$"&amp;$E$1&amp;"$2:$"&amp;$E$1&amp;"$8"),达修波得!$A$2:$A$8),2,FALSE))</f>
        <v>二</v>
      </c>
      <c r="H8" s="35" t="str">
        <f t="shared" ca="1" si="0"/>
        <v>爷二</v>
      </c>
    </row>
    <row r="9" spans="1:8">
      <c r="A9" t="s">
        <v>92</v>
      </c>
      <c r="B9" t="s">
        <v>13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98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27</v>
      </c>
      <c r="B13" t="s">
        <v>13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94</v>
      </c>
      <c r="B14" t="s">
        <v>98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92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F17" s="35" t="str">
        <f ca="1">IF(OR(OR($A17="",$B17=""),AND($C17&lt;&gt;"",$D17&lt;&gt;"")),"",VLOOKUP(A17,IF({1,0},INDIRECT("达修波得!$"&amp;$E$1&amp;"$2:$"&amp;$E$1&amp;"$8"),达修波得!$A$2:$A$8),2,FALSE))</f>
        <v>黑</v>
      </c>
      <c r="G17" s="35" t="str">
        <f ca="1">IF(OR(OR($A17="",$B17=""),AND($C17&lt;&gt;"",$D17&lt;&gt;"")),"",VLOOKUP(B17,IF({1,0},INDIRECT("达修波得!$"&amp;$E$1&amp;"$2:$"&amp;$E$1&amp;"$8"),达修波得!$A$2:$A$8),2,FALSE))</f>
        <v>磊</v>
      </c>
      <c r="H17" s="35" t="str">
        <f t="shared" ca="1" si="0"/>
        <v>黑磊</v>
      </c>
    </row>
    <row r="18" spans="1:8">
      <c r="A18" t="s">
        <v>29</v>
      </c>
      <c r="B18" t="s">
        <v>98</v>
      </c>
      <c r="F18" s="35" t="str">
        <f ca="1">IF(OR(OR($A18="",$B18=""),AND($C18&lt;&gt;"",$D18&lt;&gt;"")),"",VLOOKUP(A18,IF({1,0},INDIRECT("达修波得!$"&amp;$E$1&amp;"$2:$"&amp;$E$1&amp;"$8"),达修波得!$A$2:$A$8),2,FALSE))</f>
        <v>二</v>
      </c>
      <c r="G18" s="35" t="str">
        <f ca="1">IF(OR(OR($A18="",$B18=""),AND($C18&lt;&gt;"",$D18&lt;&gt;"")),"",VLOOKUP(B18,IF({1,0},INDIRECT("达修波得!$"&amp;$E$1&amp;"$2:$"&amp;$E$1&amp;"$8"),达修波得!$A$2:$A$8),2,FALSE))</f>
        <v>贝</v>
      </c>
      <c r="H18" s="35" t="str">
        <f t="shared" ca="1" si="0"/>
        <v>二贝</v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94</v>
      </c>
      <c r="B20" t="s">
        <v>92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98</v>
      </c>
      <c r="C22">
        <v>0</v>
      </c>
      <c r="D22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27</v>
      </c>
      <c r="B25" t="s">
        <v>94</v>
      </c>
      <c r="F25" s="35" t="str">
        <f ca="1">IF(OR(OR($A25="",$B25=""),AND($C25&lt;&gt;"",$D25&lt;&gt;"")),"",VLOOKUP(A25,IF({1,0},INDIRECT("达修波得!$"&amp;$E$1&amp;"$2:$"&amp;$E$1&amp;"$8"),达修波得!$A$2:$A$8),2,FALSE))</f>
        <v>举</v>
      </c>
      <c r="G25" s="35" t="str">
        <f ca="1">IF(OR(OR($A25="",$B25=""),AND($C25&lt;&gt;"",$D25&lt;&gt;"")),"",VLOOKUP(B25,IF({1,0},INDIRECT("达修波得!$"&amp;$E$1&amp;"$2:$"&amp;$E$1&amp;"$8"),达修波得!$A$2:$A$8),2,FALSE))</f>
        <v>爷</v>
      </c>
      <c r="H25" s="35" t="str">
        <f t="shared" ca="1" si="0"/>
        <v>举爷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98</v>
      </c>
      <c r="B28" t="s">
        <v>92</v>
      </c>
      <c r="F28" s="35" t="str">
        <f ca="1">IF(OR(OR($A28="",$B28=""),AND($C28&lt;&gt;"",$D28&lt;&gt;"")),"",VLOOKUP(A28,IF({1,0},INDIRECT("达修波得!$"&amp;$E$1&amp;"$2:$"&amp;$E$1&amp;"$8"),达修波得!$A$2:$A$8),2,FALSE))</f>
        <v>贝</v>
      </c>
      <c r="G28" s="35" t="str">
        <f ca="1">IF(OR(OR($A28="",$B28=""),AND($C28&lt;&gt;"",$D28&lt;&gt;"")),"",VLOOKUP(B28,IF({1,0},INDIRECT("达修波得!$"&amp;$E$1&amp;"$2:$"&amp;$E$1&amp;"$8"),达修波得!$A$2:$A$8),2,FALSE))</f>
        <v>宇</v>
      </c>
      <c r="H28" s="35" t="str">
        <f t="shared" ca="1" si="0"/>
        <v>贝宇</v>
      </c>
    </row>
    <row r="29" spans="1:8">
      <c r="A29" t="s">
        <v>13</v>
      </c>
      <c r="B29" t="s">
        <v>94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92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94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98</v>
      </c>
      <c r="B34" t="s">
        <v>27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13</v>
      </c>
      <c r="B35" t="s">
        <v>29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94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92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98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94</v>
      </c>
      <c r="F43" s="35" t="str">
        <f ca="1">IF(OR(OR($A43="",$B43=""),AND($C43&lt;&gt;"",$D43&lt;&gt;"")),"",VLOOKUP(A43,IF({1,0},INDIRECT("达修波得!$"&amp;$E$1&amp;"$2:$"&amp;$E$1&amp;"$8"),达修波得!$A$2:$A$8),2,FALSE))</f>
        <v>二</v>
      </c>
      <c r="G43" s="35" t="str">
        <f ca="1">IF(OR(OR($A43="",$B43=""),AND($C43&lt;&gt;"",$D43&lt;&gt;"")),"",VLOOKUP(B43,IF({1,0},INDIRECT("达修波得!$"&amp;$E$1&amp;"$2:$"&amp;$E$1&amp;"$8"),达修波得!$A$2:$A$8),2,FALSE))</f>
        <v>爷</v>
      </c>
      <c r="H43" s="35" t="str">
        <f t="shared" ca="1" si="0"/>
        <v>二爷</v>
      </c>
    </row>
    <row r="44" spans="1:8">
      <c r="A44" t="s">
        <v>13</v>
      </c>
      <c r="B44" t="s">
        <v>92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98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13</v>
      </c>
      <c r="B48" t="s">
        <v>27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98</v>
      </c>
      <c r="B49" t="s">
        <v>94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98</v>
      </c>
      <c r="B53" t="s">
        <v>29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92</v>
      </c>
      <c r="B55" t="s">
        <v>94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98</v>
      </c>
      <c r="B57" t="s">
        <v>28</v>
      </c>
      <c r="F57" s="35" t="str">
        <f ca="1">IF(OR(OR($A57="",$B57=""),AND($C57&lt;&gt;"",$D57&lt;&gt;"")),"",VLOOKUP(A57,IF({1,0},INDIRECT("达修波得!$"&amp;$E$1&amp;"$2:$"&amp;$E$1&amp;"$8"),达修波得!$A$2:$A$8),2,FALSE))</f>
        <v>贝</v>
      </c>
      <c r="G57" s="35" t="str">
        <f ca="1">IF(OR(OR($A57="",$B57=""),AND($C57&lt;&gt;"",$D57&lt;&gt;"")),"",VLOOKUP(B57,IF({1,0},INDIRECT("达修波得!$"&amp;$E$1&amp;"$2:$"&amp;$E$1&amp;"$8"),达修波得!$A$2:$A$8),2,FALSE))</f>
        <v>黑</v>
      </c>
      <c r="H57" s="35" t="str">
        <f t="shared" ca="1" si="0"/>
        <v>贝黑</v>
      </c>
    </row>
    <row r="58" spans="1:8">
      <c r="B58" t="s">
        <v>13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92</v>
      </c>
      <c r="B59" t="s">
        <v>29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94</v>
      </c>
      <c r="B60" t="s">
        <v>27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92</v>
      </c>
      <c r="B63" t="s">
        <v>98</v>
      </c>
      <c r="F63" s="35" t="str">
        <f ca="1">IF(OR(OR($A63="",$B63=""),AND($C63&lt;&gt;"",$D63&lt;&gt;"")),"",VLOOKUP(A63,IF({1,0},INDIRECT("达修波得!$"&amp;$E$1&amp;"$2:$"&amp;$E$1&amp;"$8"),达修波得!$A$2:$A$8),2,FALSE))</f>
        <v>宇</v>
      </c>
      <c r="G63" s="35" t="str">
        <f ca="1">IF(OR(OR($A63="",$B63=""),AND($C63&lt;&gt;"",$D63&lt;&gt;"")),"",VLOOKUP(B63,IF({1,0},INDIRECT("达修波得!$"&amp;$E$1&amp;"$2:$"&amp;$E$1&amp;"$8"),达修波得!$A$2:$A$8),2,FALSE))</f>
        <v>贝</v>
      </c>
      <c r="H63" s="35" t="str">
        <f t="shared" ca="1" si="0"/>
        <v>宇贝</v>
      </c>
    </row>
    <row r="64" spans="1:8">
      <c r="A64" t="s">
        <v>94</v>
      </c>
      <c r="B64" t="s">
        <v>13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27</v>
      </c>
      <c r="B65" t="s">
        <v>29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92</v>
      </c>
      <c r="B67" t="s">
        <v>28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ref="H67:H93" ca="1" si="1">F67&amp;G67</f>
        <v>宇黑</v>
      </c>
    </row>
    <row r="68" spans="1:8">
      <c r="A68" t="s">
        <v>94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98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29</v>
      </c>
      <c r="B70" t="s">
        <v>13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abSelected="1" workbookViewId="0">
      <selection activeCell="E10" sqref="E10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86</v>
      </c>
      <c r="B2" t="s">
        <v>37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88</v>
      </c>
      <c r="B3" t="s">
        <v>83</v>
      </c>
      <c r="F3" s="35" t="str">
        <f ca="1">IF(OR(OR($A3="",$B3=""),AND($C3&lt;&gt;"",$D3&lt;&gt;"")),"",VLOOKUP(A3,IF({1,0},INDIRECT("达修波得!$"&amp;$E$1&amp;"$2:$"&amp;$E$1&amp;"$8"),达修波得!$A$2:$A$8),2,FALSE))</f>
        <v>黑</v>
      </c>
      <c r="G3" s="35" t="str">
        <f ca="1">IF(OR(OR($A3="",$B3=""),AND($C3&lt;&gt;"",$D3&lt;&gt;"")),"",VLOOKUP(B3,IF({1,0},INDIRECT("达修波得!$"&amp;$E$1&amp;"$2:$"&amp;$E$1&amp;"$8"),达修波得!$A$2:$A$8),2,FALSE))</f>
        <v>二</v>
      </c>
      <c r="H3" s="35" t="str">
        <f t="shared" ca="1" si="0"/>
        <v>黑二</v>
      </c>
    </row>
    <row r="4" spans="1:8">
      <c r="A4" t="s">
        <v>14</v>
      </c>
      <c r="B4" t="s">
        <v>100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86</v>
      </c>
      <c r="B7" t="s">
        <v>83</v>
      </c>
      <c r="F7" s="35" t="str">
        <f ca="1">IF(OR(OR($A7="",$B7=""),AND($C7&lt;&gt;"",$D7&lt;&gt;"")),"",VLOOKUP(A7,IF({1,0},INDIRECT("达修波得!$"&amp;$E$1&amp;"$2:$"&amp;$E$1&amp;"$8"),达修波得!$A$2:$A$8),2,FALSE))</f>
        <v>爷</v>
      </c>
      <c r="G7" s="35" t="str">
        <f ca="1">IF(OR(OR($A7="",$B7=""),AND($C7&lt;&gt;"",$D7&lt;&gt;"")),"",VLOOKUP(B7,IF({1,0},INDIRECT("达修波得!$"&amp;$E$1&amp;"$2:$"&amp;$E$1&amp;"$8"),达修波得!$A$2:$A$8),2,FALSE))</f>
        <v>二</v>
      </c>
      <c r="H7" s="35" t="str">
        <f t="shared" ca="1" si="0"/>
        <v>爷二</v>
      </c>
    </row>
    <row r="8" spans="1:8">
      <c r="A8" t="s">
        <v>37</v>
      </c>
      <c r="B8" t="s">
        <v>100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88</v>
      </c>
      <c r="B9" t="s">
        <v>101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86</v>
      </c>
      <c r="B12" t="s">
        <v>100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83</v>
      </c>
      <c r="B13" t="s">
        <v>101</v>
      </c>
      <c r="F13" s="35" t="str">
        <f ca="1">IF(OR(OR($A13="",$B13=""),AND($C13&lt;&gt;"",$D13&lt;&gt;"")),"",VLOOKUP(A13,IF({1,0},INDIRECT("达修波得!$"&amp;$E$1&amp;"$2:$"&amp;$E$1&amp;"$8"),达修波得!$A$2:$A$8),2,FALSE))</f>
        <v>二</v>
      </c>
      <c r="G13" s="35" t="str">
        <f ca="1">IF(OR(OR($A13="",$B13=""),AND($C13&lt;&gt;"",$D13&lt;&gt;"")),"",VLOOKUP(B13,IF({1,0},INDIRECT("达修波得!$"&amp;$E$1&amp;"$2:$"&amp;$E$1&amp;"$8"),达修波得!$A$2:$A$8),2,FALSE))</f>
        <v>贝</v>
      </c>
      <c r="H13" s="35" t="str">
        <f t="shared" ca="1" si="0"/>
        <v>二贝</v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88</v>
      </c>
      <c r="B15" t="s">
        <v>14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86</v>
      </c>
      <c r="B17" t="s">
        <v>101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100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83</v>
      </c>
      <c r="B19" t="s">
        <v>14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37</v>
      </c>
      <c r="B20" t="s">
        <v>88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86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101</v>
      </c>
      <c r="B23" t="s">
        <v>14</v>
      </c>
      <c r="F23" s="35" t="str">
        <f ca="1">IF(OR(OR($A23="",$B23=""),AND($C23&lt;&gt;"",$D23&lt;&gt;"")),"",VLOOKUP(A23,IF({1,0},INDIRECT("达修波得!$"&amp;$E$1&amp;"$2:$"&amp;$E$1&amp;"$8"),达修波得!$A$2:$A$8),2,FALSE))</f>
        <v>贝</v>
      </c>
      <c r="G23" s="35" t="str">
        <f ca="1">IF(OR(OR($A23="",$B23=""),AND($C23&lt;&gt;"",$D23&lt;&gt;"")),"",VLOOKUP(B23,IF({1,0},INDIRECT("达修波得!$"&amp;$E$1&amp;"$2:$"&amp;$E$1&amp;"$8"),达修波得!$A$2:$A$8),2,FALSE))</f>
        <v>宇</v>
      </c>
      <c r="H23" s="35" t="str">
        <f t="shared" ca="1" si="0"/>
        <v>贝宇</v>
      </c>
    </row>
    <row r="24" spans="1:8">
      <c r="A24" t="s">
        <v>100</v>
      </c>
      <c r="B24" t="s">
        <v>88</v>
      </c>
      <c r="F24" s="35" t="str">
        <f ca="1">IF(OR(OR($A24="",$B24=""),AND($C24&lt;&gt;"",$D24&lt;&gt;"")),"",VLOOKUP(A24,IF({1,0},INDIRECT("达修波得!$"&amp;$E$1&amp;"$2:$"&amp;$E$1&amp;"$8"),达修波得!$A$2:$A$8),2,FALSE))</f>
        <v>磊</v>
      </c>
      <c r="G24" s="35" t="str">
        <f ca="1">IF(OR(OR($A24="",$B24=""),AND($C24&lt;&gt;"",$D24&lt;&gt;"")),"",VLOOKUP(B24,IF({1,0},INDIRECT("达修波得!$"&amp;$E$1&amp;"$2:$"&amp;$E$1&amp;"$8"),达修波得!$A$2:$A$8),2,FALSE))</f>
        <v>黑</v>
      </c>
      <c r="H24" s="35" t="str">
        <f t="shared" ca="1" si="0"/>
        <v>磊黑</v>
      </c>
    </row>
    <row r="25" spans="1:8">
      <c r="A25" t="s">
        <v>83</v>
      </c>
      <c r="B25" t="s">
        <v>37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86</v>
      </c>
      <c r="B27" s="1" t="s">
        <v>14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88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101</v>
      </c>
      <c r="B29" t="s">
        <v>37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100</v>
      </c>
      <c r="B30" t="s">
        <v>83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86</v>
      </c>
      <c r="B32" t="s">
        <v>88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14</v>
      </c>
      <c r="B33" t="s">
        <v>37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83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101</v>
      </c>
      <c r="B35" t="s">
        <v>100</v>
      </c>
      <c r="F35" s="35" t="str">
        <f ca="1">IF(OR(OR($A35="",$B35=""),AND($C35&lt;&gt;"",$D35&lt;&gt;"")),"",VLOOKUP(A35,IF({1,0},INDIRECT("达修波得!$"&amp;$E$1&amp;"$2:$"&amp;$E$1&amp;"$8"),达修波得!$A$2:$A$8),2,FALSE))</f>
        <v>贝</v>
      </c>
      <c r="G35" s="35" t="str">
        <f ca="1">IF(OR(OR($A35="",$B35=""),AND($C35&lt;&gt;"",$D35&lt;&gt;"")),"",VLOOKUP(B35,IF({1,0},INDIRECT("达修波得!$"&amp;$E$1&amp;"$2:$"&amp;$E$1&amp;"$8"),达修波得!$A$2:$A$8),2,FALSE))</f>
        <v>磊</v>
      </c>
      <c r="H35" s="35" t="str">
        <f t="shared" ca="1" si="0"/>
        <v>贝磊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86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83</v>
      </c>
      <c r="B38" t="s">
        <v>88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100</v>
      </c>
      <c r="B39" t="s">
        <v>14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101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83</v>
      </c>
      <c r="B42" t="s">
        <v>86</v>
      </c>
      <c r="F42" s="35" t="str">
        <f ca="1">IF(OR(OR($A42="",$B42=""),AND($C42&lt;&gt;"",$D42&lt;&gt;"")),"",VLOOKUP(A42,IF({1,0},INDIRECT("达修波得!$"&amp;$E$1&amp;"$2:$"&amp;$E$1&amp;"$8"),达修波得!$A$2:$A$8),2,FALSE))</f>
        <v>二</v>
      </c>
      <c r="G42" s="35" t="str">
        <f ca="1">IF(OR(OR($A42="",$B42=""),AND($C42&lt;&gt;"",$D42&lt;&gt;"")),"",VLOOKUP(B42,IF({1,0},INDIRECT("达修波得!$"&amp;$E$1&amp;"$2:$"&amp;$E$1&amp;"$8"),达修波得!$A$2:$A$8),2,FALSE))</f>
        <v>爷</v>
      </c>
      <c r="H42" s="35" t="str">
        <f t="shared" ca="1" si="0"/>
        <v>二爷</v>
      </c>
    </row>
    <row r="43" spans="1:8">
      <c r="A43" t="s">
        <v>100</v>
      </c>
      <c r="B43" t="s">
        <v>37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101</v>
      </c>
      <c r="B44" t="s">
        <v>88</v>
      </c>
      <c r="F44" s="35" t="str">
        <f ca="1">IF(OR(OR($A44="",$B44=""),AND($C44&lt;&gt;"",$D44&lt;&gt;"")),"",VLOOKUP(A44,IF({1,0},INDIRECT("达修波得!$"&amp;$E$1&amp;"$2:$"&amp;$E$1&amp;"$8"),达修波得!$A$2:$A$8),2,FALSE))</f>
        <v>贝</v>
      </c>
      <c r="G44" s="35" t="str">
        <f ca="1">IF(OR(OR($A44="",$B44=""),AND($C44&lt;&gt;"",$D44&lt;&gt;"")),"",VLOOKUP(B44,IF({1,0},INDIRECT("达修波得!$"&amp;$E$1&amp;"$2:$"&amp;$E$1&amp;"$8"),达修波得!$A$2:$A$8),2,FALSE))</f>
        <v>黑</v>
      </c>
      <c r="H44" s="35" t="str">
        <f t="shared" ca="1" si="0"/>
        <v>贝黑</v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100</v>
      </c>
      <c r="B47" t="s">
        <v>86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101</v>
      </c>
      <c r="B48" t="s">
        <v>83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88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101</v>
      </c>
      <c r="B52" t="s">
        <v>86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100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88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86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101</v>
      </c>
      <c r="F58" s="35" t="str">
        <f ca="1">IF(OR(OR($A58="",$B58=""),AND($C58&lt;&gt;"",$D58&lt;&gt;"")),"",VLOOKUP(A58,IF({1,0},INDIRECT("达修波得!$"&amp;$E$1&amp;"$2:$"&amp;$E$1&amp;"$8"),达修波得!$A$2:$A$8),2,FALSE))</f>
        <v>宇</v>
      </c>
      <c r="G58" s="35" t="str">
        <f ca="1">IF(OR(OR($A58="",$B58=""),AND($C58&lt;&gt;"",$D58&lt;&gt;"")),"",VLOOKUP(B58,IF({1,0},INDIRECT("达修波得!$"&amp;$E$1&amp;"$2:$"&amp;$E$1&amp;"$8"),达修波得!$A$2:$A$8),2,FALSE))</f>
        <v>贝</v>
      </c>
      <c r="H58" s="35" t="str">
        <f t="shared" ca="1" si="0"/>
        <v>宇贝</v>
      </c>
    </row>
    <row r="59" spans="1:8">
      <c r="A59" t="s">
        <v>88</v>
      </c>
      <c r="B59" t="s">
        <v>100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37</v>
      </c>
      <c r="B60" t="s">
        <v>83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86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88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101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83</v>
      </c>
      <c r="B65" t="s">
        <v>100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88</v>
      </c>
      <c r="B67" t="s">
        <v>86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83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100</v>
      </c>
      <c r="B70" t="s">
        <v>101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workbookViewId="0">
      <selection activeCell="D10" sqref="D10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102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F3" s="35" t="str">
        <f ca="1">IF(OR(OR($A3="",$B3=""),AND($C3&lt;&gt;"",$D3&lt;&gt;"")),"",VLOOKUP(A3,IF({1,0},INDIRECT("达修波得!$"&amp;$E$1&amp;"$2:$"&amp;$E$1&amp;"$8"),达修波得!$A$2:$A$8),2,FALSE))</f>
        <v>黑</v>
      </c>
      <c r="G3" s="35" t="str">
        <f ca="1">IF(OR(OR($A3="",$B3=""),AND($C3&lt;&gt;"",$D3&lt;&gt;"")),"",VLOOKUP(B3,IF({1,0},INDIRECT("达修波得!$"&amp;$E$1&amp;"$2:$"&amp;$E$1&amp;"$8"),达修波得!$A$2:$A$8),2,FALSE))</f>
        <v>二</v>
      </c>
      <c r="H3" s="35" t="str">
        <f t="shared" ca="1" si="0"/>
        <v>黑二</v>
      </c>
    </row>
    <row r="4" spans="1:8">
      <c r="A4" t="s">
        <v>12</v>
      </c>
      <c r="B4" t="s">
        <v>79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103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41</v>
      </c>
      <c r="F7" s="35" t="str">
        <f ca="1">IF(OR(OR($A7="",$B7=""),AND($C7&lt;&gt;"",$D7&lt;&gt;"")),"",VLOOKUP(A7,IF({1,0},INDIRECT("达修波得!$"&amp;$E$1&amp;"$2:$"&amp;$E$1&amp;"$8"),达修波得!$A$2:$A$8),2,FALSE))</f>
        <v>爷</v>
      </c>
      <c r="G7" s="35" t="str">
        <f ca="1">IF(OR(OR($A7="",$B7=""),AND($C7&lt;&gt;"",$D7&lt;&gt;"")),"",VLOOKUP(B7,IF({1,0},INDIRECT("达修波得!$"&amp;$E$1&amp;"$2:$"&amp;$E$1&amp;"$8"),达修波得!$A$2:$A$8),2,FALSE))</f>
        <v>二</v>
      </c>
      <c r="H7" s="35" t="str">
        <f t="shared" ca="1" si="0"/>
        <v>爷二</v>
      </c>
    </row>
    <row r="8" spans="1:8">
      <c r="A8" t="s">
        <v>102</v>
      </c>
      <c r="B8" t="s">
        <v>79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39</v>
      </c>
      <c r="B9" t="s">
        <v>103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79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41</v>
      </c>
      <c r="B13" t="s">
        <v>103</v>
      </c>
      <c r="F13" s="35" t="str">
        <f ca="1">IF(OR(OR($A13="",$B13=""),AND($C13&lt;&gt;"",$D13&lt;&gt;"")),"",VLOOKUP(A13,IF({1,0},INDIRECT("达修波得!$"&amp;$E$1&amp;"$2:$"&amp;$E$1&amp;"$8"),达修波得!$A$2:$A$8),2,FALSE))</f>
        <v>二</v>
      </c>
      <c r="G13" s="35" t="str">
        <f ca="1">IF(OR(OR($A13="",$B13=""),AND($C13&lt;&gt;"",$D13&lt;&gt;"")),"",VLOOKUP(B13,IF({1,0},INDIRECT("达修波得!$"&amp;$E$1&amp;"$2:$"&amp;$E$1&amp;"$8"),达修波得!$A$2:$A$8),2,FALSE))</f>
        <v>贝</v>
      </c>
      <c r="H13" s="35" t="str">
        <f t="shared" ca="1" si="0"/>
        <v>二贝</v>
      </c>
    </row>
    <row r="14" spans="1:8">
      <c r="A14" t="s">
        <v>102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F15" s="35" t="str">
        <f ca="1">IF(OR(OR($A15="",$B15=""),AND($C15&lt;&gt;"",$D15&lt;&gt;"")),"",VLOOKUP(A15,IF({1,0},INDIRECT("达修波得!$"&amp;$E$1&amp;"$2:$"&amp;$E$1&amp;"$8"),达修波得!$A$2:$A$8),2,FALSE))</f>
        <v>黑</v>
      </c>
      <c r="G15" s="35" t="str">
        <f ca="1">IF(OR(OR($A15="",$B15=""),AND($C15&lt;&gt;"",$D15&lt;&gt;"")),"",VLOOKUP(B15,IF({1,0},INDIRECT("达修波得!$"&amp;$E$1&amp;"$2:$"&amp;$E$1&amp;"$8"),达修波得!$A$2:$A$8),2,FALSE))</f>
        <v>宇</v>
      </c>
      <c r="H15" s="35" t="str">
        <f t="shared" ca="1" si="0"/>
        <v>黑宇</v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103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79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102</v>
      </c>
      <c r="B20" t="s">
        <v>39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103</v>
      </c>
      <c r="B23" t="s">
        <v>12</v>
      </c>
      <c r="F23" s="35" t="str">
        <f ca="1">IF(OR(OR($A23="",$B23=""),AND($C23&lt;&gt;"",$D23&lt;&gt;"")),"",VLOOKUP(A23,IF({1,0},INDIRECT("达修波得!$"&amp;$E$1&amp;"$2:$"&amp;$E$1&amp;"$8"),达修波得!$A$2:$A$8),2,FALSE))</f>
        <v>贝</v>
      </c>
      <c r="G23" s="35" t="str">
        <f ca="1">IF(OR(OR($A23="",$B23=""),AND($C23&lt;&gt;"",$D23&lt;&gt;"")),"",VLOOKUP(B23,IF({1,0},INDIRECT("达修波得!$"&amp;$E$1&amp;"$2:$"&amp;$E$1&amp;"$8"),达修波得!$A$2:$A$8),2,FALSE))</f>
        <v>宇</v>
      </c>
      <c r="H23" s="35" t="str">
        <f t="shared" ca="1" si="0"/>
        <v>贝宇</v>
      </c>
    </row>
    <row r="24" spans="1:8">
      <c r="A24" t="s">
        <v>79</v>
      </c>
      <c r="B24" t="s">
        <v>39</v>
      </c>
      <c r="F24" s="35" t="str">
        <f ca="1">IF(OR(OR($A24="",$B24=""),AND($C24&lt;&gt;"",$D24&lt;&gt;"")),"",VLOOKUP(A24,IF({1,0},INDIRECT("达修波得!$"&amp;$E$1&amp;"$2:$"&amp;$E$1&amp;"$8"),达修波得!$A$2:$A$8),2,FALSE))</f>
        <v>磊</v>
      </c>
      <c r="G24" s="35" t="str">
        <f ca="1">IF(OR(OR($A24="",$B24=""),AND($C24&lt;&gt;"",$D24&lt;&gt;"")),"",VLOOKUP(B24,IF({1,0},INDIRECT("达修波得!$"&amp;$E$1&amp;"$2:$"&amp;$E$1&amp;"$8"),达修波得!$A$2:$A$8),2,FALSE))</f>
        <v>黑</v>
      </c>
      <c r="H24" s="35" t="str">
        <f t="shared" ca="1" si="0"/>
        <v>磊黑</v>
      </c>
    </row>
    <row r="25" spans="1:8">
      <c r="A25" t="s">
        <v>41</v>
      </c>
      <c r="B25" t="s">
        <v>102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103</v>
      </c>
      <c r="B29" t="s">
        <v>102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79</v>
      </c>
      <c r="B30" t="s">
        <v>41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12</v>
      </c>
      <c r="B33" t="s">
        <v>102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103</v>
      </c>
      <c r="B35" t="s">
        <v>79</v>
      </c>
      <c r="F35" s="35" t="str">
        <f ca="1">IF(OR(OR($A35="",$B35=""),AND($C35&lt;&gt;"",$D35&lt;&gt;"")),"",VLOOKUP(A35,IF({1,0},INDIRECT("达修波得!$"&amp;$E$1&amp;"$2:$"&amp;$E$1&amp;"$8"),达修波得!$A$2:$A$8),2,FALSE))</f>
        <v>贝</v>
      </c>
      <c r="G35" s="35" t="str">
        <f ca="1">IF(OR(OR($A35="",$B35=""),AND($C35&lt;&gt;"",$D35&lt;&gt;"")),"",VLOOKUP(B35,IF({1,0},INDIRECT("达修波得!$"&amp;$E$1&amp;"$2:$"&amp;$E$1&amp;"$8"),达修波得!$A$2:$A$8),2,FALSE))</f>
        <v>磊</v>
      </c>
      <c r="H35" s="35" t="str">
        <f t="shared" ca="1" si="0"/>
        <v>贝磊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102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79</v>
      </c>
      <c r="B39" t="s">
        <v>12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F42" s="35" t="str">
        <f ca="1">IF(OR(OR($A42="",$B42=""),AND($C42&lt;&gt;"",$D42&lt;&gt;"")),"",VLOOKUP(A42,IF({1,0},INDIRECT("达修波得!$"&amp;$E$1&amp;"$2:$"&amp;$E$1&amp;"$8"),达修波得!$A$2:$A$8),2,FALSE))</f>
        <v>二</v>
      </c>
      <c r="G42" s="35" t="str">
        <f ca="1">IF(OR(OR($A42="",$B42=""),AND($C42&lt;&gt;"",$D42&lt;&gt;"")),"",VLOOKUP(B42,IF({1,0},INDIRECT("达修波得!$"&amp;$E$1&amp;"$2:$"&amp;$E$1&amp;"$8"),达修波得!$A$2:$A$8),2,FALSE))</f>
        <v>爷</v>
      </c>
      <c r="H42" s="35" t="str">
        <f t="shared" ca="1" si="0"/>
        <v>二爷</v>
      </c>
    </row>
    <row r="43" spans="1:8">
      <c r="A43" t="s">
        <v>79</v>
      </c>
      <c r="B43" t="s">
        <v>102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103</v>
      </c>
      <c r="B44" t="s">
        <v>39</v>
      </c>
      <c r="F44" s="35" t="str">
        <f ca="1">IF(OR(OR($A44="",$B44=""),AND($C44&lt;&gt;"",$D44&lt;&gt;"")),"",VLOOKUP(A44,IF({1,0},INDIRECT("达修波得!$"&amp;$E$1&amp;"$2:$"&amp;$E$1&amp;"$8"),达修波得!$A$2:$A$8),2,FALSE))</f>
        <v>贝</v>
      </c>
      <c r="G44" s="35" t="str">
        <f ca="1">IF(OR(OR($A44="",$B44=""),AND($C44&lt;&gt;"",$D44&lt;&gt;"")),"",VLOOKUP(B44,IF({1,0},INDIRECT("达修波得!$"&amp;$E$1&amp;"$2:$"&amp;$E$1&amp;"$8"),达修波得!$A$2:$A$8),2,FALSE))</f>
        <v>黑</v>
      </c>
      <c r="H44" s="35" t="str">
        <f t="shared" ca="1" si="0"/>
        <v>贝黑</v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79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103</v>
      </c>
      <c r="B48" t="s">
        <v>41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102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103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39</v>
      </c>
      <c r="B55" t="s">
        <v>102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103</v>
      </c>
      <c r="F58" s="35" t="str">
        <f ca="1">IF(OR(OR($A58="",$B58=""),AND($C58&lt;&gt;"",$D58&lt;&gt;"")),"",VLOOKUP(A58,IF({1,0},INDIRECT("达修波得!$"&amp;$E$1&amp;"$2:$"&amp;$E$1&amp;"$8"),达修波得!$A$2:$A$8),2,FALSE))</f>
        <v>宇</v>
      </c>
      <c r="G58" s="35" t="str">
        <f ca="1">IF(OR(OR($A58="",$B58=""),AND($C58&lt;&gt;"",$D58&lt;&gt;"")),"",VLOOKUP(B58,IF({1,0},INDIRECT("达修波得!$"&amp;$E$1&amp;"$2:$"&amp;$E$1&amp;"$8"),达修波得!$A$2:$A$8),2,FALSE))</f>
        <v>贝</v>
      </c>
      <c r="H58" s="35" t="str">
        <f t="shared" ca="1" si="0"/>
        <v>宇贝</v>
      </c>
    </row>
    <row r="59" spans="1:8">
      <c r="A59" t="s">
        <v>39</v>
      </c>
      <c r="B59" t="s">
        <v>79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102</v>
      </c>
      <c r="B60" t="s">
        <v>41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102</v>
      </c>
      <c r="B64" t="s">
        <v>103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41</v>
      </c>
      <c r="B65" t="s">
        <v>79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102</v>
      </c>
      <c r="B68" t="s">
        <v>12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79</v>
      </c>
      <c r="B70" t="s">
        <v>103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J22" sqref="J2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64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72</v>
      </c>
      <c r="B2" t="s">
        <v>63</v>
      </c>
      <c r="F2" s="35" t="e">
        <f ca="1">IF(OR(OR($A2="",$B2=""),AND($C2&lt;&gt;"",$D2&lt;&gt;"")),"",VLOOKUP(A2,IF({1,0},INDIRECT("达修波得!$"&amp;$E$1&amp;"$2:$"&amp;$E$1&amp;"$8"),达修波得!$A$2:$A$8),2,FALSE))</f>
        <v>#N/A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73</v>
      </c>
      <c r="B3" t="s">
        <v>62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72</v>
      </c>
      <c r="B7" t="s">
        <v>62</v>
      </c>
      <c r="F7" s="35" t="e">
        <f ca="1">IF(OR(OR($A7="",$B7=""),AND($C7&lt;&gt;"",$D7&lt;&gt;"")),"",VLOOKUP(A7,IF({1,0},INDIRECT("达修波得!$"&amp;$E$1&amp;"$2:$"&amp;$E$1&amp;"$8"),达修波得!$A$2:$A$8),2,FALSE))</f>
        <v>#N/A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63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73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72</v>
      </c>
      <c r="B12" t="s">
        <v>13</v>
      </c>
      <c r="F12" s="35" t="e">
        <f ca="1">IF(OR(OR($A12="",$B12=""),AND($C12&lt;&gt;"",$D12&lt;&gt;"")),"",VLOOKUP(A12,IF({1,0},INDIRECT("达修波得!$"&amp;$E$1&amp;"$2:$"&amp;$E$1&amp;"$8"),达修波得!$A$2:$A$8),2,FALSE))</f>
        <v>#N/A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62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63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73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72</v>
      </c>
      <c r="B17" t="s">
        <v>41</v>
      </c>
      <c r="F17" s="35" t="e">
        <f ca="1">IF(OR(OR($A17="",$B17=""),AND($C17&lt;&gt;"",$D17&lt;&gt;"")),"",VLOOKUP(A17,IF({1,0},INDIRECT("达修波得!$"&amp;$E$1&amp;"$2:$"&amp;$E$1&amp;"$8"),达修波得!$A$2:$A$8),2,FALSE))</f>
        <v>#N/A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63</v>
      </c>
      <c r="B20" t="s">
        <v>73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72</v>
      </c>
      <c r="B22" t="s">
        <v>38</v>
      </c>
      <c r="F22" s="35" t="e">
        <f ca="1">IF(OR(OR($A22="",$B22=""),AND($C22&lt;&gt;"",$D22&lt;&gt;"")),"",VLOOKUP(A22,IF({1,0},INDIRECT("达修波得!$"&amp;$E$1&amp;"$2:$"&amp;$E$1&amp;"$8"),达修波得!$A$2:$A$8),2,FALSE))</f>
        <v>#N/A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73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62</v>
      </c>
      <c r="B25" t="s">
        <v>63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72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73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63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62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72</v>
      </c>
      <c r="B32" t="s">
        <v>73</v>
      </c>
      <c r="F32" s="35" t="e">
        <f ca="1">IF(OR(OR($A32="",$B32=""),AND($C32&lt;&gt;"",$D32&lt;&gt;"")),"",VLOOKUP(A32,IF({1,0},INDIRECT("达修波得!$"&amp;$E$1&amp;"$2:$"&amp;$E$1&amp;"$8"),达修波得!$A$2:$A$8),2,FALSE))</f>
        <v>#N/A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62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63</v>
      </c>
      <c r="B37" t="s">
        <v>72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e">
        <f ca="1">IF(OR(OR($A37="",$B37=""),AND($C37&lt;&gt;"",$D37&lt;&gt;"")),"",VLOOKUP(B37,IF({1,0},INDIRECT("达修波得!$"&amp;$E$1&amp;"$2:$"&amp;$E$1&amp;"$8"),达修波得!$A$2:$A$8),2,FALSE))</f>
        <v>#N/A</v>
      </c>
      <c r="H37" s="35" t="e">
        <f t="shared" ca="1" si="0"/>
        <v>#N/A</v>
      </c>
    </row>
    <row r="38" spans="1:8">
      <c r="A38" t="s">
        <v>62</v>
      </c>
      <c r="B38" t="s">
        <v>73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62</v>
      </c>
      <c r="B42" t="s">
        <v>72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e">
        <f ca="1">IF(OR(OR($A42="",$B42=""),AND($C42&lt;&gt;"",$D42&lt;&gt;"")),"",VLOOKUP(B42,IF({1,0},INDIRECT("达修波得!$"&amp;$E$1&amp;"$2:$"&amp;$E$1&amp;"$8"),达修波得!$A$2:$A$8),2,FALSE))</f>
        <v>#N/A</v>
      </c>
      <c r="H42" s="35" t="e">
        <f t="shared" ca="1" si="0"/>
        <v>#N/A</v>
      </c>
    </row>
    <row r="43" spans="1:8">
      <c r="A43" t="s">
        <v>13</v>
      </c>
      <c r="B43" t="s">
        <v>63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73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72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e">
        <f ca="1">IF(OR(OR($A47="",$B47=""),AND($C47&lt;&gt;"",$D47&lt;&gt;"")),"",VLOOKUP(B47,IF({1,0},INDIRECT("达修波得!$"&amp;$E$1&amp;"$2:$"&amp;$E$1&amp;"$8"),达修波得!$A$2:$A$8),2,FALSE))</f>
        <v>#N/A</v>
      </c>
      <c r="H47" s="35" t="e">
        <f t="shared" ca="1" si="0"/>
        <v>#N/A</v>
      </c>
    </row>
    <row r="48" spans="1:8">
      <c r="A48" t="s">
        <v>41</v>
      </c>
      <c r="B48" t="s">
        <v>62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63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72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e">
        <f ca="1">IF(OR(OR($A52="",$B52=""),AND($C52&lt;&gt;"",$D52&lt;&gt;"")),"",VLOOKUP(B52,IF({1,0},INDIRECT("达修波得!$"&amp;$E$1&amp;"$2:$"&amp;$E$1&amp;"$8"),达修波得!$A$2:$A$8),2,FALSE))</f>
        <v>#N/A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73</v>
      </c>
      <c r="B55" t="s">
        <v>63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72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e">
        <f ca="1">IF(OR(OR($A57="",$B57=""),AND($C57&lt;&gt;"",$D57&lt;&gt;"")),"",VLOOKUP(B57,IF({1,0},INDIRECT("达修波得!$"&amp;$E$1&amp;"$2:$"&amp;$E$1&amp;"$8"),达修波得!$A$2:$A$8),2,FALSE))</f>
        <v>#N/A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73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63</v>
      </c>
      <c r="B60" t="s">
        <v>62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73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63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62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73</v>
      </c>
      <c r="B67" t="s">
        <v>72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e">
        <f ca="1">IF(OR(OR($A67="",$B67=""),AND($C67&lt;&gt;"",$D67&lt;&gt;"")),"",VLOOKUP(B67,IF({1,0},INDIRECT("达修波得!$"&amp;$E$1&amp;"$2:$"&amp;$E$1&amp;"$8"),达修波得!$A$2:$A$8),2,FALSE))</f>
        <v>#N/A</v>
      </c>
      <c r="H67" s="35" t="e">
        <f t="shared" ca="1" si="1"/>
        <v>#N/A</v>
      </c>
    </row>
    <row r="68" spans="1:8">
      <c r="A68" t="s">
        <v>63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62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2018-06-29T05:15:36Z</dcterms:modified>
</cp:coreProperties>
</file>