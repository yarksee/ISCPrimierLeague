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8502" codeName="{37E998C4-C9E5-D4B9-71C8-EB1FF731991C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Stores/Desktop/"/>
    </mc:Choice>
  </mc:AlternateContent>
  <bookViews>
    <workbookView xWindow="0" yWindow="460" windowWidth="27320" windowHeight="13960" tabRatio="774"/>
  </bookViews>
  <sheets>
    <sheet name="达修波得" sheetId="7" r:id="rId1"/>
    <sheet name="西甲積分榜" sheetId="1" r:id="rId2"/>
    <sheet name="欧联積分榜" sheetId="5" r:id="rId3"/>
    <sheet name="意甲積分榜" sheetId="6" r:id="rId4"/>
    <sheet name="德甲積分榜" sheetId="10" r:id="rId5"/>
    <sheet name="欧冠積分榜" sheetId="9" r:id="rId6"/>
    <sheet name="西甲" sheetId="2" r:id="rId7"/>
    <sheet name="欧联" sheetId="3" r:id="rId8"/>
    <sheet name="意甲" sheetId="4" r:id="rId9"/>
    <sheet name="德甲" sheetId="11" r:id="rId10"/>
    <sheet name="欧冠" sheetId="8" r:id="rId11"/>
  </sheets>
  <definedNames>
    <definedName name="_xlnm._FilterDatabase" localSheetId="9" hidden="1">德甲!$A$1:$E$70</definedName>
    <definedName name="_xlnm._FilterDatabase" localSheetId="10" hidden="1">欧冠!$A$1:$E$70</definedName>
    <definedName name="_xlnm._FilterDatabase" localSheetId="8" hidden="1">意甲!$A$1:$E$70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" i="8" l="1"/>
  <c r="G1" i="8"/>
  <c r="H1" i="8"/>
  <c r="F2" i="8"/>
  <c r="G2" i="8"/>
  <c r="H2" i="8"/>
  <c r="F3" i="8"/>
  <c r="G3" i="8"/>
  <c r="H3" i="8"/>
  <c r="F4" i="8"/>
  <c r="G4" i="8"/>
  <c r="H4" i="8"/>
  <c r="F5" i="8"/>
  <c r="G5" i="8"/>
  <c r="H5" i="8"/>
  <c r="F6" i="8"/>
  <c r="G6" i="8"/>
  <c r="H6" i="8"/>
  <c r="F7" i="8"/>
  <c r="G7" i="8"/>
  <c r="H7" i="8"/>
  <c r="F8" i="8"/>
  <c r="G8" i="8"/>
  <c r="H8" i="8"/>
  <c r="F9" i="8"/>
  <c r="G9" i="8"/>
  <c r="H9" i="8"/>
  <c r="F10" i="8"/>
  <c r="G10" i="8"/>
  <c r="H10" i="8"/>
  <c r="F11" i="8"/>
  <c r="G11" i="8"/>
  <c r="H11" i="8"/>
  <c r="F12" i="8"/>
  <c r="G12" i="8"/>
  <c r="H12" i="8"/>
  <c r="F13" i="8"/>
  <c r="G13" i="8"/>
  <c r="H13" i="8"/>
  <c r="F14" i="8"/>
  <c r="G14" i="8"/>
  <c r="H14" i="8"/>
  <c r="F15" i="8"/>
  <c r="G15" i="8"/>
  <c r="H15" i="8"/>
  <c r="F16" i="8"/>
  <c r="G16" i="8"/>
  <c r="H16" i="8"/>
  <c r="F17" i="8"/>
  <c r="G17" i="8"/>
  <c r="H17" i="8"/>
  <c r="F18" i="8"/>
  <c r="G18" i="8"/>
  <c r="H18" i="8"/>
  <c r="F19" i="8"/>
  <c r="G19" i="8"/>
  <c r="H19" i="8"/>
  <c r="F20" i="8"/>
  <c r="G20" i="8"/>
  <c r="H20" i="8"/>
  <c r="F21" i="8"/>
  <c r="G21" i="8"/>
  <c r="H21" i="8"/>
  <c r="F22" i="8"/>
  <c r="G22" i="8"/>
  <c r="H22" i="8"/>
  <c r="F23" i="8"/>
  <c r="G23" i="8"/>
  <c r="H23" i="8"/>
  <c r="F24" i="8"/>
  <c r="G24" i="8"/>
  <c r="H24" i="8"/>
  <c r="F25" i="8"/>
  <c r="G25" i="8"/>
  <c r="H25" i="8"/>
  <c r="F26" i="8"/>
  <c r="G26" i="8"/>
  <c r="H26" i="8"/>
  <c r="F27" i="8"/>
  <c r="G27" i="8"/>
  <c r="H27" i="8"/>
  <c r="F28" i="8"/>
  <c r="G28" i="8"/>
  <c r="H28" i="8"/>
  <c r="F29" i="8"/>
  <c r="G29" i="8"/>
  <c r="H29" i="8"/>
  <c r="F30" i="8"/>
  <c r="G30" i="8"/>
  <c r="H30" i="8"/>
  <c r="F31" i="8"/>
  <c r="G31" i="8"/>
  <c r="H31" i="8"/>
  <c r="F32" i="8"/>
  <c r="G32" i="8"/>
  <c r="H32" i="8"/>
  <c r="F33" i="8"/>
  <c r="G33" i="8"/>
  <c r="H33" i="8"/>
  <c r="F34" i="8"/>
  <c r="G34" i="8"/>
  <c r="H34" i="8"/>
  <c r="F35" i="8"/>
  <c r="G35" i="8"/>
  <c r="H35" i="8"/>
  <c r="F36" i="8"/>
  <c r="G36" i="8"/>
  <c r="H36" i="8"/>
  <c r="F37" i="8"/>
  <c r="G37" i="8"/>
  <c r="H37" i="8"/>
  <c r="F38" i="8"/>
  <c r="G38" i="8"/>
  <c r="H38" i="8"/>
  <c r="F39" i="8"/>
  <c r="G39" i="8"/>
  <c r="H39" i="8"/>
  <c r="F40" i="8"/>
  <c r="G40" i="8"/>
  <c r="H40" i="8"/>
  <c r="F41" i="8"/>
  <c r="G41" i="8"/>
  <c r="H41" i="8"/>
  <c r="F42" i="8"/>
  <c r="G42" i="8"/>
  <c r="H42" i="8"/>
  <c r="F43" i="8"/>
  <c r="G43" i="8"/>
  <c r="H43" i="8"/>
  <c r="F44" i="8"/>
  <c r="G44" i="8"/>
  <c r="H44" i="8"/>
  <c r="F45" i="8"/>
  <c r="G45" i="8"/>
  <c r="H45" i="8"/>
  <c r="F46" i="8"/>
  <c r="G46" i="8"/>
  <c r="H46" i="8"/>
  <c r="F47" i="8"/>
  <c r="G47" i="8"/>
  <c r="H47" i="8"/>
  <c r="F48" i="8"/>
  <c r="G48" i="8"/>
  <c r="H48" i="8"/>
  <c r="F49" i="8"/>
  <c r="G49" i="8"/>
  <c r="H49" i="8"/>
  <c r="F50" i="8"/>
  <c r="G50" i="8"/>
  <c r="H50" i="8"/>
  <c r="F51" i="8"/>
  <c r="G51" i="8"/>
  <c r="H51" i="8"/>
  <c r="F52" i="8"/>
  <c r="G52" i="8"/>
  <c r="H52" i="8"/>
  <c r="F53" i="8"/>
  <c r="G53" i="8"/>
  <c r="H53" i="8"/>
  <c r="F54" i="8"/>
  <c r="G54" i="8"/>
  <c r="H54" i="8"/>
  <c r="F55" i="8"/>
  <c r="G55" i="8"/>
  <c r="H55" i="8"/>
  <c r="F56" i="8"/>
  <c r="G56" i="8"/>
  <c r="H56" i="8"/>
  <c r="F57" i="8"/>
  <c r="G57" i="8"/>
  <c r="H57" i="8"/>
  <c r="F58" i="8"/>
  <c r="G58" i="8"/>
  <c r="H58" i="8"/>
  <c r="F59" i="8"/>
  <c r="G59" i="8"/>
  <c r="H59" i="8"/>
  <c r="F60" i="8"/>
  <c r="G60" i="8"/>
  <c r="H60" i="8"/>
  <c r="F61" i="8"/>
  <c r="G61" i="8"/>
  <c r="H61" i="8"/>
  <c r="F62" i="8"/>
  <c r="G62" i="8"/>
  <c r="H62" i="8"/>
  <c r="F63" i="8"/>
  <c r="G63" i="8"/>
  <c r="H63" i="8"/>
  <c r="F64" i="8"/>
  <c r="G64" i="8"/>
  <c r="H64" i="8"/>
  <c r="F65" i="8"/>
  <c r="G65" i="8"/>
  <c r="H65" i="8"/>
  <c r="F66" i="8"/>
  <c r="G66" i="8"/>
  <c r="H66" i="8"/>
  <c r="F67" i="8"/>
  <c r="G67" i="8"/>
  <c r="H67" i="8"/>
  <c r="F68" i="8"/>
  <c r="G68" i="8"/>
  <c r="H68" i="8"/>
  <c r="F69" i="8"/>
  <c r="G69" i="8"/>
  <c r="H69" i="8"/>
  <c r="F70" i="8"/>
  <c r="G70" i="8"/>
  <c r="H70" i="8"/>
  <c r="F71" i="8"/>
  <c r="G71" i="8"/>
  <c r="H71" i="8"/>
  <c r="F72" i="8"/>
  <c r="G72" i="8"/>
  <c r="H72" i="8"/>
  <c r="F73" i="8"/>
  <c r="G73" i="8"/>
  <c r="H73" i="8"/>
  <c r="F74" i="8"/>
  <c r="G74" i="8"/>
  <c r="H74" i="8"/>
  <c r="F75" i="8"/>
  <c r="G75" i="8"/>
  <c r="H75" i="8"/>
  <c r="F76" i="8"/>
  <c r="G76" i="8"/>
  <c r="H76" i="8"/>
  <c r="F77" i="8"/>
  <c r="G77" i="8"/>
  <c r="H77" i="8"/>
  <c r="N83" i="7"/>
  <c r="M83" i="7"/>
  <c r="K83" i="7"/>
  <c r="J83" i="7"/>
  <c r="I83" i="7"/>
  <c r="O82" i="7"/>
  <c r="M82" i="7"/>
  <c r="K82" i="7"/>
  <c r="J82" i="7"/>
  <c r="I82" i="7"/>
  <c r="O81" i="7"/>
  <c r="N81" i="7"/>
  <c r="K81" i="7"/>
  <c r="J81" i="7"/>
  <c r="I81" i="7"/>
  <c r="O79" i="7"/>
  <c r="N79" i="7"/>
  <c r="M79" i="7"/>
  <c r="J79" i="7"/>
  <c r="I79" i="7"/>
  <c r="O78" i="7"/>
  <c r="N78" i="7"/>
  <c r="M78" i="7"/>
  <c r="K78" i="7"/>
  <c r="I78" i="7"/>
  <c r="O77" i="7"/>
  <c r="N77" i="7"/>
  <c r="M77" i="7"/>
  <c r="K77" i="7"/>
  <c r="J77" i="7"/>
  <c r="N76" i="7"/>
  <c r="M76" i="7"/>
  <c r="K76" i="7"/>
  <c r="J76" i="7"/>
  <c r="I76" i="7"/>
  <c r="O75" i="7"/>
  <c r="M75" i="7"/>
  <c r="K75" i="7"/>
  <c r="J75" i="7"/>
  <c r="I75" i="7"/>
  <c r="O74" i="7"/>
  <c r="N74" i="7"/>
  <c r="K74" i="7"/>
  <c r="J74" i="7"/>
  <c r="I74" i="7"/>
  <c r="O72" i="7"/>
  <c r="N72" i="7"/>
  <c r="M72" i="7"/>
  <c r="J72" i="7"/>
  <c r="I72" i="7"/>
  <c r="O71" i="7"/>
  <c r="N71" i="7"/>
  <c r="M71" i="7"/>
  <c r="K71" i="7"/>
  <c r="I71" i="7"/>
  <c r="O70" i="7"/>
  <c r="N70" i="7"/>
  <c r="M70" i="7"/>
  <c r="K70" i="7"/>
  <c r="J70" i="7"/>
  <c r="G83" i="7"/>
  <c r="F83" i="7"/>
  <c r="D83" i="7"/>
  <c r="C83" i="7"/>
  <c r="B83" i="7"/>
  <c r="H82" i="7"/>
  <c r="F82" i="7"/>
  <c r="D82" i="7"/>
  <c r="C82" i="7"/>
  <c r="B82" i="7"/>
  <c r="H81" i="7"/>
  <c r="G81" i="7"/>
  <c r="D81" i="7"/>
  <c r="C81" i="7"/>
  <c r="B81" i="7"/>
  <c r="H79" i="7"/>
  <c r="G79" i="7"/>
  <c r="F79" i="7"/>
  <c r="C79" i="7"/>
  <c r="B79" i="7"/>
  <c r="H78" i="7"/>
  <c r="G78" i="7"/>
  <c r="F78" i="7"/>
  <c r="D78" i="7"/>
  <c r="B78" i="7"/>
  <c r="H77" i="7"/>
  <c r="G77" i="7"/>
  <c r="F77" i="7"/>
  <c r="D77" i="7"/>
  <c r="C77" i="7"/>
  <c r="G76" i="7"/>
  <c r="F76" i="7"/>
  <c r="D76" i="7"/>
  <c r="C76" i="7"/>
  <c r="B76" i="7"/>
  <c r="H75" i="7"/>
  <c r="F75" i="7"/>
  <c r="D75" i="7"/>
  <c r="C75" i="7"/>
  <c r="B75" i="7"/>
  <c r="H74" i="7"/>
  <c r="G74" i="7"/>
  <c r="D74" i="7"/>
  <c r="C74" i="7"/>
  <c r="B74" i="7"/>
  <c r="H72" i="7"/>
  <c r="G72" i="7"/>
  <c r="F72" i="7"/>
  <c r="C72" i="7"/>
  <c r="B72" i="7"/>
  <c r="H71" i="7"/>
  <c r="G71" i="7"/>
  <c r="F71" i="7"/>
  <c r="D71" i="7"/>
  <c r="H70" i="7"/>
  <c r="G70" i="7"/>
  <c r="F70" i="7"/>
  <c r="D70" i="7"/>
  <c r="C70" i="7"/>
  <c r="B71" i="7"/>
  <c r="F1" i="11"/>
  <c r="G1" i="11"/>
  <c r="H1" i="11"/>
  <c r="F2" i="11"/>
  <c r="G2" i="11"/>
  <c r="H2" i="11"/>
  <c r="F3" i="11"/>
  <c r="G3" i="11"/>
  <c r="H3" i="11"/>
  <c r="F4" i="11"/>
  <c r="G4" i="11"/>
  <c r="H4" i="11"/>
  <c r="F5" i="11"/>
  <c r="G5" i="11"/>
  <c r="H5" i="11"/>
  <c r="F6" i="11"/>
  <c r="G6" i="11"/>
  <c r="H6" i="11"/>
  <c r="F7" i="11"/>
  <c r="G7" i="11"/>
  <c r="H7" i="11"/>
  <c r="F8" i="11"/>
  <c r="G8" i="11"/>
  <c r="H8" i="11"/>
  <c r="F9" i="11"/>
  <c r="G9" i="11"/>
  <c r="H9" i="11"/>
  <c r="F10" i="11"/>
  <c r="G10" i="11"/>
  <c r="H10" i="11"/>
  <c r="F11" i="11"/>
  <c r="G11" i="11"/>
  <c r="H11" i="11"/>
  <c r="F12" i="11"/>
  <c r="G12" i="11"/>
  <c r="H12" i="11"/>
  <c r="F13" i="11"/>
  <c r="G13" i="11"/>
  <c r="H13" i="11"/>
  <c r="F14" i="11"/>
  <c r="G14" i="11"/>
  <c r="H14" i="11"/>
  <c r="F15" i="11"/>
  <c r="G15" i="11"/>
  <c r="H15" i="11"/>
  <c r="F16" i="11"/>
  <c r="G16" i="11"/>
  <c r="H16" i="11"/>
  <c r="F17" i="11"/>
  <c r="G17" i="11"/>
  <c r="H17" i="11"/>
  <c r="F18" i="11"/>
  <c r="G18" i="11"/>
  <c r="H18" i="11"/>
  <c r="F19" i="11"/>
  <c r="G19" i="11"/>
  <c r="H19" i="11"/>
  <c r="F20" i="11"/>
  <c r="G20" i="11"/>
  <c r="H20" i="11"/>
  <c r="F21" i="11"/>
  <c r="G21" i="11"/>
  <c r="H21" i="11"/>
  <c r="F22" i="11"/>
  <c r="G22" i="11"/>
  <c r="H22" i="11"/>
  <c r="F23" i="11"/>
  <c r="G23" i="11"/>
  <c r="H23" i="11"/>
  <c r="F24" i="11"/>
  <c r="G24" i="11"/>
  <c r="H24" i="11"/>
  <c r="F25" i="11"/>
  <c r="G25" i="11"/>
  <c r="H25" i="11"/>
  <c r="F26" i="11"/>
  <c r="G26" i="11"/>
  <c r="H26" i="11"/>
  <c r="F27" i="11"/>
  <c r="G27" i="11"/>
  <c r="H27" i="11"/>
  <c r="F28" i="11"/>
  <c r="G28" i="11"/>
  <c r="H28" i="11"/>
  <c r="F29" i="11"/>
  <c r="G29" i="11"/>
  <c r="H29" i="11"/>
  <c r="F30" i="11"/>
  <c r="G30" i="11"/>
  <c r="H30" i="11"/>
  <c r="F31" i="11"/>
  <c r="G31" i="11"/>
  <c r="H31" i="11"/>
  <c r="F32" i="11"/>
  <c r="G32" i="11"/>
  <c r="H32" i="11"/>
  <c r="F33" i="11"/>
  <c r="G33" i="11"/>
  <c r="H33" i="11"/>
  <c r="F34" i="11"/>
  <c r="G34" i="11"/>
  <c r="H34" i="11"/>
  <c r="F35" i="11"/>
  <c r="G35" i="11"/>
  <c r="H35" i="11"/>
  <c r="F36" i="11"/>
  <c r="G36" i="11"/>
  <c r="H36" i="11"/>
  <c r="F37" i="11"/>
  <c r="G37" i="11"/>
  <c r="H37" i="11"/>
  <c r="F38" i="11"/>
  <c r="G38" i="11"/>
  <c r="H38" i="11"/>
  <c r="F39" i="11"/>
  <c r="G39" i="11"/>
  <c r="H39" i="11"/>
  <c r="F40" i="11"/>
  <c r="G40" i="11"/>
  <c r="H40" i="11"/>
  <c r="F41" i="11"/>
  <c r="G41" i="11"/>
  <c r="H41" i="11"/>
  <c r="F42" i="11"/>
  <c r="G42" i="11"/>
  <c r="H42" i="11"/>
  <c r="F43" i="11"/>
  <c r="G43" i="11"/>
  <c r="H43" i="11"/>
  <c r="F44" i="11"/>
  <c r="G44" i="11"/>
  <c r="H44" i="11"/>
  <c r="F45" i="11"/>
  <c r="G45" i="11"/>
  <c r="H45" i="11"/>
  <c r="F46" i="11"/>
  <c r="G46" i="11"/>
  <c r="H46" i="11"/>
  <c r="F47" i="11"/>
  <c r="G47" i="11"/>
  <c r="H47" i="11"/>
  <c r="F48" i="11"/>
  <c r="G48" i="11"/>
  <c r="H48" i="11"/>
  <c r="F49" i="11"/>
  <c r="G49" i="11"/>
  <c r="H49" i="11"/>
  <c r="F50" i="11"/>
  <c r="G50" i="11"/>
  <c r="H50" i="11"/>
  <c r="F51" i="11"/>
  <c r="G51" i="11"/>
  <c r="H51" i="11"/>
  <c r="F52" i="11"/>
  <c r="G52" i="11"/>
  <c r="H52" i="11"/>
  <c r="F53" i="11"/>
  <c r="G53" i="11"/>
  <c r="H53" i="11"/>
  <c r="F54" i="11"/>
  <c r="G54" i="11"/>
  <c r="H54" i="11"/>
  <c r="F55" i="11"/>
  <c r="G55" i="11"/>
  <c r="H55" i="11"/>
  <c r="F56" i="11"/>
  <c r="G56" i="11"/>
  <c r="H56" i="11"/>
  <c r="F57" i="11"/>
  <c r="G57" i="11"/>
  <c r="H57" i="11"/>
  <c r="F58" i="11"/>
  <c r="G58" i="11"/>
  <c r="H58" i="11"/>
  <c r="F59" i="11"/>
  <c r="G59" i="11"/>
  <c r="H59" i="11"/>
  <c r="F60" i="11"/>
  <c r="G60" i="11"/>
  <c r="H60" i="11"/>
  <c r="F61" i="11"/>
  <c r="G61" i="11"/>
  <c r="H61" i="11"/>
  <c r="F62" i="11"/>
  <c r="G62" i="11"/>
  <c r="H62" i="11"/>
  <c r="F63" i="11"/>
  <c r="G63" i="11"/>
  <c r="H63" i="11"/>
  <c r="F64" i="11"/>
  <c r="G64" i="11"/>
  <c r="H64" i="11"/>
  <c r="F65" i="11"/>
  <c r="G65" i="11"/>
  <c r="H65" i="11"/>
  <c r="F66" i="11"/>
  <c r="G66" i="11"/>
  <c r="H66" i="11"/>
  <c r="F67" i="11"/>
  <c r="G67" i="11"/>
  <c r="H67" i="11"/>
  <c r="F68" i="11"/>
  <c r="G68" i="11"/>
  <c r="H68" i="11"/>
  <c r="F69" i="11"/>
  <c r="G69" i="11"/>
  <c r="H69" i="11"/>
  <c r="F70" i="11"/>
  <c r="G70" i="11"/>
  <c r="H70" i="11"/>
  <c r="F71" i="11"/>
  <c r="G71" i="11"/>
  <c r="H71" i="11"/>
  <c r="F72" i="11"/>
  <c r="G72" i="11"/>
  <c r="H72" i="11"/>
  <c r="B62" i="7"/>
  <c r="L2" i="9"/>
  <c r="L3" i="9"/>
  <c r="L4" i="9"/>
  <c r="L5" i="9"/>
  <c r="L6" i="9"/>
  <c r="L7" i="9"/>
  <c r="L8" i="9"/>
  <c r="L9" i="9"/>
  <c r="L10" i="9"/>
  <c r="L11" i="9"/>
  <c r="L12" i="9"/>
  <c r="L13" i="9"/>
  <c r="K7" i="9"/>
  <c r="K8" i="9"/>
  <c r="K9" i="9"/>
  <c r="K10" i="9"/>
  <c r="K11" i="9"/>
  <c r="K12" i="9"/>
  <c r="K13" i="9"/>
  <c r="F1" i="2"/>
  <c r="G1" i="2"/>
  <c r="H1" i="2"/>
  <c r="F2" i="2"/>
  <c r="G2" i="2"/>
  <c r="H2" i="2"/>
  <c r="F3" i="2"/>
  <c r="G3" i="2"/>
  <c r="H3" i="2"/>
  <c r="F4" i="2"/>
  <c r="G4" i="2"/>
  <c r="H4" i="2"/>
  <c r="F5" i="2"/>
  <c r="G5" i="2"/>
  <c r="H5" i="2"/>
  <c r="F6" i="2"/>
  <c r="G6" i="2"/>
  <c r="H6" i="2"/>
  <c r="F7" i="2"/>
  <c r="G7" i="2"/>
  <c r="H7" i="2"/>
  <c r="F8" i="2"/>
  <c r="G8" i="2"/>
  <c r="H8" i="2"/>
  <c r="F9" i="2"/>
  <c r="G9" i="2"/>
  <c r="H9" i="2"/>
  <c r="F10" i="2"/>
  <c r="G10" i="2"/>
  <c r="H10" i="2"/>
  <c r="F11" i="2"/>
  <c r="G11" i="2"/>
  <c r="H11" i="2"/>
  <c r="F12" i="2"/>
  <c r="G12" i="2"/>
  <c r="H12" i="2"/>
  <c r="F13" i="2"/>
  <c r="G13" i="2"/>
  <c r="H13" i="2"/>
  <c r="F14" i="2"/>
  <c r="G14" i="2"/>
  <c r="H14" i="2"/>
  <c r="F15" i="2"/>
  <c r="G15" i="2"/>
  <c r="H15" i="2"/>
  <c r="F16" i="2"/>
  <c r="G16" i="2"/>
  <c r="H16" i="2"/>
  <c r="F17" i="2"/>
  <c r="G17" i="2"/>
  <c r="H17" i="2"/>
  <c r="F18" i="2"/>
  <c r="G18" i="2"/>
  <c r="H18" i="2"/>
  <c r="F19" i="2"/>
  <c r="G19" i="2"/>
  <c r="H19" i="2"/>
  <c r="F20" i="2"/>
  <c r="G20" i="2"/>
  <c r="H20" i="2"/>
  <c r="F21" i="2"/>
  <c r="G21" i="2"/>
  <c r="H21" i="2"/>
  <c r="F22" i="2"/>
  <c r="G22" i="2"/>
  <c r="H22" i="2"/>
  <c r="F23" i="2"/>
  <c r="G23" i="2"/>
  <c r="H23" i="2"/>
  <c r="F24" i="2"/>
  <c r="G24" i="2"/>
  <c r="H24" i="2"/>
  <c r="F25" i="2"/>
  <c r="G25" i="2"/>
  <c r="H25" i="2"/>
  <c r="F26" i="2"/>
  <c r="G26" i="2"/>
  <c r="H26" i="2"/>
  <c r="F27" i="2"/>
  <c r="G27" i="2"/>
  <c r="H27" i="2"/>
  <c r="F28" i="2"/>
  <c r="G28" i="2"/>
  <c r="H28" i="2"/>
  <c r="F29" i="2"/>
  <c r="G29" i="2"/>
  <c r="H29" i="2"/>
  <c r="F30" i="2"/>
  <c r="G30" i="2"/>
  <c r="H30" i="2"/>
  <c r="F31" i="2"/>
  <c r="G31" i="2"/>
  <c r="H31" i="2"/>
  <c r="F32" i="2"/>
  <c r="G32" i="2"/>
  <c r="H32" i="2"/>
  <c r="F33" i="2"/>
  <c r="G33" i="2"/>
  <c r="H33" i="2"/>
  <c r="F34" i="2"/>
  <c r="G34" i="2"/>
  <c r="H34" i="2"/>
  <c r="F35" i="2"/>
  <c r="G35" i="2"/>
  <c r="H35" i="2"/>
  <c r="F36" i="2"/>
  <c r="G36" i="2"/>
  <c r="H36" i="2"/>
  <c r="F37" i="2"/>
  <c r="G37" i="2"/>
  <c r="H37" i="2"/>
  <c r="F38" i="2"/>
  <c r="G38" i="2"/>
  <c r="H38" i="2"/>
  <c r="F39" i="2"/>
  <c r="G39" i="2"/>
  <c r="H39" i="2"/>
  <c r="F40" i="2"/>
  <c r="G40" i="2"/>
  <c r="H40" i="2"/>
  <c r="F41" i="2"/>
  <c r="G41" i="2"/>
  <c r="H41" i="2"/>
  <c r="F42" i="2"/>
  <c r="G42" i="2"/>
  <c r="H42" i="2"/>
  <c r="F43" i="2"/>
  <c r="G43" i="2"/>
  <c r="H43" i="2"/>
  <c r="F44" i="2"/>
  <c r="G44" i="2"/>
  <c r="H44" i="2"/>
  <c r="F45" i="2"/>
  <c r="G45" i="2"/>
  <c r="H45" i="2"/>
  <c r="F46" i="2"/>
  <c r="G46" i="2"/>
  <c r="H46" i="2"/>
  <c r="F47" i="2"/>
  <c r="G47" i="2"/>
  <c r="H47" i="2"/>
  <c r="F48" i="2"/>
  <c r="G48" i="2"/>
  <c r="H48" i="2"/>
  <c r="F49" i="2"/>
  <c r="G49" i="2"/>
  <c r="H49" i="2"/>
  <c r="F50" i="2"/>
  <c r="G50" i="2"/>
  <c r="H50" i="2"/>
  <c r="F51" i="2"/>
  <c r="G51" i="2"/>
  <c r="H51" i="2"/>
  <c r="F52" i="2"/>
  <c r="G52" i="2"/>
  <c r="H52" i="2"/>
  <c r="F53" i="2"/>
  <c r="G53" i="2"/>
  <c r="H53" i="2"/>
  <c r="F54" i="2"/>
  <c r="G54" i="2"/>
  <c r="H54" i="2"/>
  <c r="F55" i="2"/>
  <c r="G55" i="2"/>
  <c r="H55" i="2"/>
  <c r="F56" i="2"/>
  <c r="G56" i="2"/>
  <c r="H56" i="2"/>
  <c r="F57" i="2"/>
  <c r="G57" i="2"/>
  <c r="H57" i="2"/>
  <c r="F58" i="2"/>
  <c r="G58" i="2"/>
  <c r="H58" i="2"/>
  <c r="F59" i="2"/>
  <c r="G59" i="2"/>
  <c r="H59" i="2"/>
  <c r="F60" i="2"/>
  <c r="G60" i="2"/>
  <c r="H60" i="2"/>
  <c r="F61" i="2"/>
  <c r="G61" i="2"/>
  <c r="H61" i="2"/>
  <c r="F62" i="2"/>
  <c r="G62" i="2"/>
  <c r="H62" i="2"/>
  <c r="F63" i="2"/>
  <c r="G63" i="2"/>
  <c r="H63" i="2"/>
  <c r="F64" i="2"/>
  <c r="G64" i="2"/>
  <c r="H64" i="2"/>
  <c r="F65" i="2"/>
  <c r="G65" i="2"/>
  <c r="H65" i="2"/>
  <c r="F66" i="2"/>
  <c r="G66" i="2"/>
  <c r="H66" i="2"/>
  <c r="F67" i="2"/>
  <c r="G67" i="2"/>
  <c r="H67" i="2"/>
  <c r="F68" i="2"/>
  <c r="G68" i="2"/>
  <c r="H68" i="2"/>
  <c r="F69" i="2"/>
  <c r="G69" i="2"/>
  <c r="H69" i="2"/>
  <c r="F70" i="2"/>
  <c r="G70" i="2"/>
  <c r="H70" i="2"/>
  <c r="F71" i="2"/>
  <c r="G71" i="2"/>
  <c r="H71" i="2"/>
  <c r="F72" i="2"/>
  <c r="G72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36" i="7"/>
  <c r="F1" i="3"/>
  <c r="G1" i="3"/>
  <c r="H1" i="3"/>
  <c r="F2" i="3"/>
  <c r="G2" i="3"/>
  <c r="H2" i="3"/>
  <c r="F3" i="3"/>
  <c r="G3" i="3"/>
  <c r="H3" i="3"/>
  <c r="F4" i="3"/>
  <c r="G4" i="3"/>
  <c r="H4" i="3"/>
  <c r="F5" i="3"/>
  <c r="G5" i="3"/>
  <c r="H5" i="3"/>
  <c r="F6" i="3"/>
  <c r="G6" i="3"/>
  <c r="H6" i="3"/>
  <c r="F7" i="3"/>
  <c r="G7" i="3"/>
  <c r="H7" i="3"/>
  <c r="F8" i="3"/>
  <c r="G8" i="3"/>
  <c r="H8" i="3"/>
  <c r="F9" i="3"/>
  <c r="G9" i="3"/>
  <c r="H9" i="3"/>
  <c r="F10" i="3"/>
  <c r="G10" i="3"/>
  <c r="H10" i="3"/>
  <c r="F11" i="3"/>
  <c r="G11" i="3"/>
  <c r="H11" i="3"/>
  <c r="F12" i="3"/>
  <c r="G12" i="3"/>
  <c r="H12" i="3"/>
  <c r="F13" i="3"/>
  <c r="G13" i="3"/>
  <c r="H13" i="3"/>
  <c r="F14" i="3"/>
  <c r="G14" i="3"/>
  <c r="H14" i="3"/>
  <c r="F15" i="3"/>
  <c r="G15" i="3"/>
  <c r="H15" i="3"/>
  <c r="F16" i="3"/>
  <c r="G16" i="3"/>
  <c r="H16" i="3"/>
  <c r="F17" i="3"/>
  <c r="G17" i="3"/>
  <c r="H17" i="3"/>
  <c r="F18" i="3"/>
  <c r="G18" i="3"/>
  <c r="H18" i="3"/>
  <c r="F19" i="3"/>
  <c r="G19" i="3"/>
  <c r="H19" i="3"/>
  <c r="F20" i="3"/>
  <c r="G20" i="3"/>
  <c r="H20" i="3"/>
  <c r="F21" i="3"/>
  <c r="G21" i="3"/>
  <c r="H21" i="3"/>
  <c r="F22" i="3"/>
  <c r="G22" i="3"/>
  <c r="H22" i="3"/>
  <c r="F23" i="3"/>
  <c r="G23" i="3"/>
  <c r="H23" i="3"/>
  <c r="F24" i="3"/>
  <c r="G24" i="3"/>
  <c r="H24" i="3"/>
  <c r="F25" i="3"/>
  <c r="G25" i="3"/>
  <c r="H25" i="3"/>
  <c r="F26" i="3"/>
  <c r="G26" i="3"/>
  <c r="H26" i="3"/>
  <c r="F27" i="3"/>
  <c r="G27" i="3"/>
  <c r="H27" i="3"/>
  <c r="F28" i="3"/>
  <c r="G28" i="3"/>
  <c r="H28" i="3"/>
  <c r="F29" i="3"/>
  <c r="G29" i="3"/>
  <c r="H29" i="3"/>
  <c r="F30" i="3"/>
  <c r="G30" i="3"/>
  <c r="H30" i="3"/>
  <c r="F31" i="3"/>
  <c r="G31" i="3"/>
  <c r="H31" i="3"/>
  <c r="F32" i="3"/>
  <c r="G32" i="3"/>
  <c r="H32" i="3"/>
  <c r="F33" i="3"/>
  <c r="G33" i="3"/>
  <c r="H33" i="3"/>
  <c r="F34" i="3"/>
  <c r="G34" i="3"/>
  <c r="H34" i="3"/>
  <c r="F35" i="3"/>
  <c r="G35" i="3"/>
  <c r="H35" i="3"/>
  <c r="F36" i="3"/>
  <c r="G36" i="3"/>
  <c r="H36" i="3"/>
  <c r="F37" i="3"/>
  <c r="G37" i="3"/>
  <c r="H37" i="3"/>
  <c r="F38" i="3"/>
  <c r="G38" i="3"/>
  <c r="H38" i="3"/>
  <c r="F39" i="3"/>
  <c r="G39" i="3"/>
  <c r="H39" i="3"/>
  <c r="F40" i="3"/>
  <c r="G40" i="3"/>
  <c r="H40" i="3"/>
  <c r="F41" i="3"/>
  <c r="G41" i="3"/>
  <c r="H41" i="3"/>
  <c r="F42" i="3"/>
  <c r="G42" i="3"/>
  <c r="H42" i="3"/>
  <c r="F43" i="3"/>
  <c r="G43" i="3"/>
  <c r="H43" i="3"/>
  <c r="F44" i="3"/>
  <c r="G44" i="3"/>
  <c r="H44" i="3"/>
  <c r="F45" i="3"/>
  <c r="G45" i="3"/>
  <c r="H45" i="3"/>
  <c r="F46" i="3"/>
  <c r="G46" i="3"/>
  <c r="H46" i="3"/>
  <c r="F47" i="3"/>
  <c r="G47" i="3"/>
  <c r="H47" i="3"/>
  <c r="F48" i="3"/>
  <c r="G48" i="3"/>
  <c r="H48" i="3"/>
  <c r="F49" i="3"/>
  <c r="G49" i="3"/>
  <c r="H49" i="3"/>
  <c r="F50" i="3"/>
  <c r="G50" i="3"/>
  <c r="H50" i="3"/>
  <c r="F51" i="3"/>
  <c r="G51" i="3"/>
  <c r="H51" i="3"/>
  <c r="F52" i="3"/>
  <c r="G52" i="3"/>
  <c r="H52" i="3"/>
  <c r="F53" i="3"/>
  <c r="G53" i="3"/>
  <c r="H53" i="3"/>
  <c r="F54" i="3"/>
  <c r="G54" i="3"/>
  <c r="H54" i="3"/>
  <c r="F55" i="3"/>
  <c r="G55" i="3"/>
  <c r="H55" i="3"/>
  <c r="F56" i="3"/>
  <c r="G56" i="3"/>
  <c r="H56" i="3"/>
  <c r="F57" i="3"/>
  <c r="G57" i="3"/>
  <c r="H57" i="3"/>
  <c r="F58" i="3"/>
  <c r="G58" i="3"/>
  <c r="H58" i="3"/>
  <c r="F59" i="3"/>
  <c r="G59" i="3"/>
  <c r="H59" i="3"/>
  <c r="F60" i="3"/>
  <c r="G60" i="3"/>
  <c r="H60" i="3"/>
  <c r="F61" i="3"/>
  <c r="G61" i="3"/>
  <c r="H61" i="3"/>
  <c r="F62" i="3"/>
  <c r="G62" i="3"/>
  <c r="H62" i="3"/>
  <c r="F63" i="3"/>
  <c r="G63" i="3"/>
  <c r="H63" i="3"/>
  <c r="F64" i="3"/>
  <c r="G64" i="3"/>
  <c r="H64" i="3"/>
  <c r="F65" i="3"/>
  <c r="G65" i="3"/>
  <c r="H65" i="3"/>
  <c r="F66" i="3"/>
  <c r="G66" i="3"/>
  <c r="H66" i="3"/>
  <c r="F67" i="3"/>
  <c r="G67" i="3"/>
  <c r="H67" i="3"/>
  <c r="F68" i="3"/>
  <c r="G68" i="3"/>
  <c r="H68" i="3"/>
  <c r="F69" i="3"/>
  <c r="G69" i="3"/>
  <c r="H69" i="3"/>
  <c r="F70" i="3"/>
  <c r="G70" i="3"/>
  <c r="H70" i="3"/>
  <c r="F71" i="3"/>
  <c r="G71" i="3"/>
  <c r="H71" i="3"/>
  <c r="F72" i="3"/>
  <c r="G72" i="3"/>
  <c r="H72" i="3"/>
  <c r="H46" i="7"/>
  <c r="F1" i="4"/>
  <c r="G1" i="4"/>
  <c r="H1" i="4"/>
  <c r="F2" i="4"/>
  <c r="G2" i="4"/>
  <c r="H2" i="4"/>
  <c r="F3" i="4"/>
  <c r="G3" i="4"/>
  <c r="H3" i="4"/>
  <c r="F4" i="4"/>
  <c r="G4" i="4"/>
  <c r="H4" i="4"/>
  <c r="F5" i="4"/>
  <c r="G5" i="4"/>
  <c r="H5" i="4"/>
  <c r="F6" i="4"/>
  <c r="G6" i="4"/>
  <c r="H6" i="4"/>
  <c r="F7" i="4"/>
  <c r="G7" i="4"/>
  <c r="H7" i="4"/>
  <c r="F8" i="4"/>
  <c r="G8" i="4"/>
  <c r="H8" i="4"/>
  <c r="F9" i="4"/>
  <c r="G9" i="4"/>
  <c r="H9" i="4"/>
  <c r="F10" i="4"/>
  <c r="G10" i="4"/>
  <c r="H10" i="4"/>
  <c r="F11" i="4"/>
  <c r="G11" i="4"/>
  <c r="H11" i="4"/>
  <c r="F12" i="4"/>
  <c r="G12" i="4"/>
  <c r="H12" i="4"/>
  <c r="F13" i="4"/>
  <c r="G13" i="4"/>
  <c r="H13" i="4"/>
  <c r="F14" i="4"/>
  <c r="G14" i="4"/>
  <c r="H14" i="4"/>
  <c r="F15" i="4"/>
  <c r="G15" i="4"/>
  <c r="H15" i="4"/>
  <c r="F16" i="4"/>
  <c r="G16" i="4"/>
  <c r="H16" i="4"/>
  <c r="F17" i="4"/>
  <c r="G17" i="4"/>
  <c r="H17" i="4"/>
  <c r="F18" i="4"/>
  <c r="G18" i="4"/>
  <c r="H18" i="4"/>
  <c r="F19" i="4"/>
  <c r="G19" i="4"/>
  <c r="H19" i="4"/>
  <c r="F20" i="4"/>
  <c r="G20" i="4"/>
  <c r="H20" i="4"/>
  <c r="F21" i="4"/>
  <c r="G21" i="4"/>
  <c r="H21" i="4"/>
  <c r="F22" i="4"/>
  <c r="G22" i="4"/>
  <c r="H22" i="4"/>
  <c r="F23" i="4"/>
  <c r="G23" i="4"/>
  <c r="H23" i="4"/>
  <c r="F24" i="4"/>
  <c r="G24" i="4"/>
  <c r="H24" i="4"/>
  <c r="F25" i="4"/>
  <c r="G25" i="4"/>
  <c r="H25" i="4"/>
  <c r="F26" i="4"/>
  <c r="G26" i="4"/>
  <c r="H26" i="4"/>
  <c r="F27" i="4"/>
  <c r="G27" i="4"/>
  <c r="H27" i="4"/>
  <c r="F28" i="4"/>
  <c r="G28" i="4"/>
  <c r="H28" i="4"/>
  <c r="F29" i="4"/>
  <c r="G29" i="4"/>
  <c r="H29" i="4"/>
  <c r="F30" i="4"/>
  <c r="G30" i="4"/>
  <c r="H30" i="4"/>
  <c r="F31" i="4"/>
  <c r="G31" i="4"/>
  <c r="H31" i="4"/>
  <c r="F32" i="4"/>
  <c r="G32" i="4"/>
  <c r="H32" i="4"/>
  <c r="F33" i="4"/>
  <c r="G33" i="4"/>
  <c r="H33" i="4"/>
  <c r="F34" i="4"/>
  <c r="G34" i="4"/>
  <c r="H34" i="4"/>
  <c r="F35" i="4"/>
  <c r="G35" i="4"/>
  <c r="H35" i="4"/>
  <c r="F36" i="4"/>
  <c r="G36" i="4"/>
  <c r="H36" i="4"/>
  <c r="F37" i="4"/>
  <c r="G37" i="4"/>
  <c r="H37" i="4"/>
  <c r="F38" i="4"/>
  <c r="G38" i="4"/>
  <c r="H38" i="4"/>
  <c r="F39" i="4"/>
  <c r="G39" i="4"/>
  <c r="H39" i="4"/>
  <c r="F40" i="4"/>
  <c r="G40" i="4"/>
  <c r="H40" i="4"/>
  <c r="F41" i="4"/>
  <c r="G41" i="4"/>
  <c r="H41" i="4"/>
  <c r="F42" i="4"/>
  <c r="G42" i="4"/>
  <c r="H42" i="4"/>
  <c r="F43" i="4"/>
  <c r="G43" i="4"/>
  <c r="H43" i="4"/>
  <c r="F44" i="4"/>
  <c r="G44" i="4"/>
  <c r="H44" i="4"/>
  <c r="F45" i="4"/>
  <c r="G45" i="4"/>
  <c r="H45" i="4"/>
  <c r="F46" i="4"/>
  <c r="G46" i="4"/>
  <c r="H46" i="4"/>
  <c r="F47" i="4"/>
  <c r="G47" i="4"/>
  <c r="H47" i="4"/>
  <c r="F48" i="4"/>
  <c r="G48" i="4"/>
  <c r="H48" i="4"/>
  <c r="F49" i="4"/>
  <c r="G49" i="4"/>
  <c r="H49" i="4"/>
  <c r="F50" i="4"/>
  <c r="G50" i="4"/>
  <c r="H50" i="4"/>
  <c r="F51" i="4"/>
  <c r="G51" i="4"/>
  <c r="H51" i="4"/>
  <c r="F52" i="4"/>
  <c r="G52" i="4"/>
  <c r="H52" i="4"/>
  <c r="F53" i="4"/>
  <c r="G53" i="4"/>
  <c r="H53" i="4"/>
  <c r="F54" i="4"/>
  <c r="G54" i="4"/>
  <c r="H54" i="4"/>
  <c r="F55" i="4"/>
  <c r="G55" i="4"/>
  <c r="H55" i="4"/>
  <c r="F56" i="4"/>
  <c r="G56" i="4"/>
  <c r="H56" i="4"/>
  <c r="F57" i="4"/>
  <c r="G57" i="4"/>
  <c r="H57" i="4"/>
  <c r="F58" i="4"/>
  <c r="G58" i="4"/>
  <c r="H58" i="4"/>
  <c r="F59" i="4"/>
  <c r="G59" i="4"/>
  <c r="H59" i="4"/>
  <c r="F60" i="4"/>
  <c r="G60" i="4"/>
  <c r="H60" i="4"/>
  <c r="F61" i="4"/>
  <c r="G61" i="4"/>
  <c r="H61" i="4"/>
  <c r="F62" i="4"/>
  <c r="G62" i="4"/>
  <c r="H62" i="4"/>
  <c r="F63" i="4"/>
  <c r="G63" i="4"/>
  <c r="H63" i="4"/>
  <c r="F64" i="4"/>
  <c r="G64" i="4"/>
  <c r="H64" i="4"/>
  <c r="F65" i="4"/>
  <c r="G65" i="4"/>
  <c r="H65" i="4"/>
  <c r="F66" i="4"/>
  <c r="G66" i="4"/>
  <c r="H66" i="4"/>
  <c r="F67" i="4"/>
  <c r="G67" i="4"/>
  <c r="H67" i="4"/>
  <c r="F68" i="4"/>
  <c r="G68" i="4"/>
  <c r="H68" i="4"/>
  <c r="F69" i="4"/>
  <c r="G69" i="4"/>
  <c r="H69" i="4"/>
  <c r="F70" i="4"/>
  <c r="G70" i="4"/>
  <c r="H70" i="4"/>
  <c r="F71" i="4"/>
  <c r="G71" i="4"/>
  <c r="H71" i="4"/>
  <c r="F72" i="4"/>
  <c r="G72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56" i="7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66" i="7"/>
  <c r="H26" i="7"/>
  <c r="H35" i="7"/>
  <c r="H45" i="7"/>
  <c r="H55" i="7"/>
  <c r="H65" i="7"/>
  <c r="H25" i="7"/>
  <c r="H34" i="7"/>
  <c r="H44" i="7"/>
  <c r="H54" i="7"/>
  <c r="H64" i="7"/>
  <c r="H24" i="7"/>
  <c r="H33" i="7"/>
  <c r="H43" i="7"/>
  <c r="H53" i="7"/>
  <c r="H63" i="7"/>
  <c r="H23" i="7"/>
  <c r="H32" i="7"/>
  <c r="H42" i="7"/>
  <c r="H52" i="7"/>
  <c r="H62" i="7"/>
  <c r="H22" i="7"/>
  <c r="H31" i="7"/>
  <c r="H41" i="7"/>
  <c r="H51" i="7"/>
  <c r="H61" i="7"/>
  <c r="H21" i="7"/>
  <c r="G37" i="7"/>
  <c r="G47" i="7"/>
  <c r="G57" i="7"/>
  <c r="G67" i="7"/>
  <c r="G27" i="7"/>
  <c r="G35" i="7"/>
  <c r="G45" i="7"/>
  <c r="G55" i="7"/>
  <c r="G65" i="7"/>
  <c r="G25" i="7"/>
  <c r="G34" i="7"/>
  <c r="G44" i="7"/>
  <c r="G54" i="7"/>
  <c r="G64" i="7"/>
  <c r="G24" i="7"/>
  <c r="G33" i="7"/>
  <c r="G43" i="7"/>
  <c r="G53" i="7"/>
  <c r="G63" i="7"/>
  <c r="G23" i="7"/>
  <c r="G32" i="7"/>
  <c r="G42" i="7"/>
  <c r="G52" i="7"/>
  <c r="G62" i="7"/>
  <c r="G22" i="7"/>
  <c r="G31" i="7"/>
  <c r="G41" i="7"/>
  <c r="G51" i="7"/>
  <c r="G61" i="7"/>
  <c r="G21" i="7"/>
  <c r="F37" i="7"/>
  <c r="F47" i="7"/>
  <c r="F57" i="7"/>
  <c r="F67" i="7"/>
  <c r="F27" i="7"/>
  <c r="F36" i="7"/>
  <c r="F46" i="7"/>
  <c r="F56" i="7"/>
  <c r="F66" i="7"/>
  <c r="F26" i="7"/>
  <c r="F34" i="7"/>
  <c r="F44" i="7"/>
  <c r="F54" i="7"/>
  <c r="F64" i="7"/>
  <c r="F24" i="7"/>
  <c r="F33" i="7"/>
  <c r="F43" i="7"/>
  <c r="F53" i="7"/>
  <c r="F63" i="7"/>
  <c r="F23" i="7"/>
  <c r="F32" i="7"/>
  <c r="F42" i="7"/>
  <c r="F52" i="7"/>
  <c r="F62" i="7"/>
  <c r="F22" i="7"/>
  <c r="F31" i="7"/>
  <c r="F41" i="7"/>
  <c r="F51" i="7"/>
  <c r="F61" i="7"/>
  <c r="F21" i="7"/>
  <c r="E37" i="7"/>
  <c r="E47" i="7"/>
  <c r="E57" i="7"/>
  <c r="E67" i="7"/>
  <c r="E27" i="7"/>
  <c r="E36" i="7"/>
  <c r="E46" i="7"/>
  <c r="E56" i="7"/>
  <c r="E66" i="7"/>
  <c r="E26" i="7"/>
  <c r="E35" i="7"/>
  <c r="E45" i="7"/>
  <c r="E55" i="7"/>
  <c r="E65" i="7"/>
  <c r="E25" i="7"/>
  <c r="E33" i="7"/>
  <c r="E43" i="7"/>
  <c r="E53" i="7"/>
  <c r="E63" i="7"/>
  <c r="E23" i="7"/>
  <c r="E32" i="7"/>
  <c r="E42" i="7"/>
  <c r="E52" i="7"/>
  <c r="E62" i="7"/>
  <c r="E22" i="7"/>
  <c r="E31" i="7"/>
  <c r="E41" i="7"/>
  <c r="E51" i="7"/>
  <c r="E61" i="7"/>
  <c r="E21" i="7"/>
  <c r="D32" i="7"/>
  <c r="D42" i="7"/>
  <c r="D52" i="7"/>
  <c r="D62" i="7"/>
  <c r="D22" i="7"/>
  <c r="D31" i="7"/>
  <c r="D41" i="7"/>
  <c r="D51" i="7"/>
  <c r="D61" i="7"/>
  <c r="D21" i="7"/>
  <c r="D37" i="7"/>
  <c r="D47" i="7"/>
  <c r="D57" i="7"/>
  <c r="D67" i="7"/>
  <c r="D27" i="7"/>
  <c r="D36" i="7"/>
  <c r="D46" i="7"/>
  <c r="D56" i="7"/>
  <c r="D66" i="7"/>
  <c r="D26" i="7"/>
  <c r="D35" i="7"/>
  <c r="D45" i="7"/>
  <c r="D55" i="7"/>
  <c r="D65" i="7"/>
  <c r="D25" i="7"/>
  <c r="D34" i="7"/>
  <c r="D44" i="7"/>
  <c r="D54" i="7"/>
  <c r="D64" i="7"/>
  <c r="D24" i="7"/>
  <c r="C37" i="7"/>
  <c r="C47" i="7"/>
  <c r="C57" i="7"/>
  <c r="C67" i="7"/>
  <c r="C27" i="7"/>
  <c r="C36" i="7"/>
  <c r="C46" i="7"/>
  <c r="C56" i="7"/>
  <c r="C66" i="7"/>
  <c r="C26" i="7"/>
  <c r="C35" i="7"/>
  <c r="C45" i="7"/>
  <c r="C55" i="7"/>
  <c r="C65" i="7"/>
  <c r="C25" i="7"/>
  <c r="C34" i="7"/>
  <c r="C44" i="7"/>
  <c r="C54" i="7"/>
  <c r="C64" i="7"/>
  <c r="C24" i="7"/>
  <c r="C33" i="7"/>
  <c r="C43" i="7"/>
  <c r="C53" i="7"/>
  <c r="C63" i="7"/>
  <c r="C23" i="7"/>
  <c r="C31" i="7"/>
  <c r="C41" i="7"/>
  <c r="C51" i="7"/>
  <c r="C61" i="7"/>
  <c r="C21" i="7"/>
  <c r="B33" i="7"/>
  <c r="B43" i="7"/>
  <c r="B53" i="7"/>
  <c r="B63" i="7"/>
  <c r="B23" i="7"/>
  <c r="B34" i="7"/>
  <c r="B44" i="7"/>
  <c r="B54" i="7"/>
  <c r="B64" i="7"/>
  <c r="B24" i="7"/>
  <c r="B35" i="7"/>
  <c r="B45" i="7"/>
  <c r="B55" i="7"/>
  <c r="B65" i="7"/>
  <c r="B25" i="7"/>
  <c r="B36" i="7"/>
  <c r="B46" i="7"/>
  <c r="B56" i="7"/>
  <c r="B66" i="7"/>
  <c r="B26" i="7"/>
  <c r="B37" i="7"/>
  <c r="B47" i="7"/>
  <c r="B57" i="7"/>
  <c r="B67" i="7"/>
  <c r="B27" i="7"/>
  <c r="B32" i="7"/>
  <c r="B42" i="7"/>
  <c r="B52" i="7"/>
  <c r="B22" i="7"/>
  <c r="L2" i="5"/>
  <c r="L3" i="5"/>
  <c r="L4" i="5"/>
  <c r="L5" i="5"/>
  <c r="L6" i="5"/>
  <c r="L7" i="5"/>
  <c r="L8" i="5"/>
  <c r="K7" i="5"/>
  <c r="K3" i="5"/>
  <c r="K4" i="5"/>
  <c r="K5" i="5"/>
  <c r="K6" i="5"/>
  <c r="K8" i="5"/>
  <c r="L8" i="10"/>
  <c r="L2" i="10"/>
  <c r="L3" i="10"/>
  <c r="L4" i="10"/>
  <c r="L5" i="10"/>
  <c r="L6" i="10"/>
  <c r="L7" i="10"/>
  <c r="K2" i="10"/>
  <c r="K7" i="10"/>
  <c r="K6" i="10"/>
  <c r="K5" i="10"/>
  <c r="K4" i="10"/>
  <c r="K8" i="10"/>
  <c r="K3" i="10"/>
  <c r="K2" i="9"/>
  <c r="K4" i="9"/>
  <c r="K6" i="9"/>
  <c r="K3" i="9"/>
  <c r="K5" i="9"/>
  <c r="L2" i="6"/>
  <c r="L3" i="6"/>
  <c r="L4" i="6"/>
  <c r="L5" i="6"/>
  <c r="L6" i="6"/>
  <c r="L7" i="6"/>
  <c r="L8" i="6"/>
  <c r="L2" i="1"/>
  <c r="L3" i="1"/>
  <c r="L4" i="1"/>
  <c r="L5" i="1"/>
  <c r="L6" i="1"/>
  <c r="L7" i="1"/>
  <c r="L8" i="1"/>
  <c r="K3" i="6"/>
  <c r="K8" i="6"/>
  <c r="K2" i="6"/>
  <c r="K5" i="6"/>
  <c r="K7" i="6"/>
  <c r="K6" i="6"/>
  <c r="K4" i="6"/>
  <c r="K2" i="1"/>
  <c r="K3" i="1"/>
  <c r="K5" i="1"/>
  <c r="K7" i="1"/>
  <c r="K6" i="1"/>
  <c r="K8" i="1"/>
  <c r="K4" i="1"/>
  <c r="K2" i="5"/>
  <c r="B19" i="7"/>
  <c r="C19" i="7"/>
  <c r="A20" i="7"/>
  <c r="G19" i="7"/>
  <c r="H19" i="7"/>
  <c r="E19" i="7"/>
  <c r="D19" i="7"/>
  <c r="F19" i="7"/>
</calcChain>
</file>

<file path=xl/sharedStrings.xml><?xml version="1.0" encoding="utf-8"?>
<sst xmlns="http://schemas.openxmlformats.org/spreadsheetml/2006/main" count="888" uniqueCount="166">
  <si>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</si>
  <si>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</si>
  <si>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</si>
  <si>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</si>
  <si>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DengXian"/>
        <family val="2"/>
        <charset val="128"/>
        <scheme val="minor"/>
      </rPr>
      <t>队数</t>
    </r>
    <phoneticPr fontId="1"/>
  </si>
  <si>
    <r>
      <t>循</t>
    </r>
    <r>
      <rPr>
        <sz val="11"/>
        <color theme="1"/>
        <rFont val="DengXian"/>
        <family val="2"/>
        <charset val="128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</si>
  <si>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</si>
  <si>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</si>
  <si>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</si>
  <si>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</si>
  <si>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</si>
  <si>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</si>
  <si>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尤文图斯</t>
  </si>
  <si>
    <t>塞维利亚</t>
  </si>
  <si>
    <t>莫斯科中央陆军</t>
  </si>
  <si>
    <t>第4輪</t>
  </si>
  <si>
    <t>第5輪</t>
  </si>
  <si>
    <t>第6輪</t>
  </si>
  <si>
    <t>第7輪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</si>
  <si>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</si>
  <si>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</si>
  <si>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</si>
  <si>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</si>
  <si>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DengXian"/>
        <family val="2"/>
        <charset val="128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</si>
  <si>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</si>
  <si>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</si>
  <si>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</si>
  <si>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皇家马德里</t>
  </si>
  <si>
    <t>毕尔巴鄂竞技</t>
  </si>
  <si>
    <t>瓦伦西亚</t>
  </si>
  <si>
    <t>第8輪</t>
  </si>
  <si>
    <t>第9輪</t>
  </si>
  <si>
    <t>第10輪</t>
  </si>
  <si>
    <t>第11輪</t>
  </si>
  <si>
    <t>第12輪</t>
  </si>
  <si>
    <t>第13輪</t>
  </si>
  <si>
    <t>第14輪</t>
  </si>
  <si>
    <t>加拉塔萨雷</t>
  </si>
  <si>
    <t>那不勒斯</t>
  </si>
  <si>
    <t>拉齐奥</t>
  </si>
  <si>
    <t>国际米兰</t>
  </si>
  <si>
    <t>贝</t>
    <phoneticPr fontId="1"/>
  </si>
  <si>
    <t>塞维利亚</t>
    <rPh sb="0" eb="1">
      <t>sai wei li ya</t>
    </rPh>
    <phoneticPr fontId="8" type="noConversion"/>
  </si>
  <si>
    <t>磊</t>
  </si>
  <si>
    <t>国际米兰</t>
    <rPh sb="0" eb="1">
      <t>guo ji mi lan</t>
    </rPh>
    <phoneticPr fontId="8" type="noConversion"/>
  </si>
  <si>
    <t>二</t>
    <phoneticPr fontId="1"/>
  </si>
  <si>
    <t>举</t>
    <rPh sb="0" eb="1">
      <t>ju</t>
    </rPh>
    <phoneticPr fontId="1"/>
  </si>
  <si>
    <t>爷</t>
  </si>
  <si>
    <t>黑</t>
    <rPh sb="0" eb="1">
      <t>hei</t>
    </rPh>
    <phoneticPr fontId="1"/>
  </si>
  <si>
    <t>宇</t>
    <rPh sb="0" eb="1">
      <t>yu</t>
    </rPh>
    <phoneticPr fontId="1"/>
  </si>
  <si>
    <t>贝</t>
  </si>
  <si>
    <t>二</t>
  </si>
  <si>
    <t>意甲</t>
    <phoneticPr fontId="1"/>
  </si>
  <si>
    <r>
      <t>欧</t>
    </r>
    <r>
      <rPr>
        <sz val="11"/>
        <color theme="1"/>
        <rFont val="DengXian"/>
        <family val="2"/>
        <charset val="128"/>
        <scheme val="minor"/>
      </rPr>
      <t>联</t>
    </r>
  </si>
  <si>
    <t>西甲</t>
    <phoneticPr fontId="1"/>
  </si>
  <si>
    <t>B</t>
    <phoneticPr fontId="1"/>
  </si>
  <si>
    <t>C</t>
    <phoneticPr fontId="1"/>
  </si>
  <si>
    <t>D</t>
    <phoneticPr fontId="1"/>
  </si>
  <si>
    <r>
      <t>欧</t>
    </r>
    <r>
      <rPr>
        <sz val="11"/>
        <color theme="1"/>
        <rFont val="DengXian"/>
        <family val="2"/>
        <charset val="128"/>
        <scheme val="minor"/>
      </rPr>
      <t>联</t>
    </r>
    <phoneticPr fontId="1"/>
  </si>
  <si>
    <t>理分</t>
    <phoneticPr fontId="1"/>
  </si>
  <si>
    <t>巴黎圣日耳曼</t>
  </si>
  <si>
    <t>本菲卡</t>
  </si>
  <si>
    <t>E</t>
    <phoneticPr fontId="1"/>
  </si>
  <si>
    <r>
      <rPr>
        <sz val="11"/>
        <color theme="0"/>
        <rFont val="DengXian"/>
        <family val="2"/>
        <charset val="128"/>
        <scheme val="minor"/>
      </rPr>
      <t>队</t>
    </r>
    <r>
      <rPr>
        <sz val="11"/>
        <color theme="0"/>
        <rFont val="DengXian"/>
        <family val="2"/>
        <charset val="128"/>
        <scheme val="minor"/>
      </rPr>
      <t>名</t>
    </r>
    <phoneticPr fontId="1"/>
  </si>
  <si>
    <r>
      <rPr>
        <sz val="11"/>
        <color theme="0"/>
        <rFont val="DengXian"/>
        <family val="2"/>
        <charset val="128"/>
        <scheme val="minor"/>
      </rPr>
      <t>总</t>
    </r>
    <phoneticPr fontId="1"/>
  </si>
  <si>
    <r>
      <rPr>
        <sz val="11"/>
        <color theme="0"/>
        <rFont val="DengXian"/>
        <family val="2"/>
        <charset val="128"/>
        <scheme val="minor"/>
      </rPr>
      <t>胜</t>
    </r>
    <phoneticPr fontId="1"/>
  </si>
  <si>
    <r>
      <rPr>
        <sz val="11"/>
        <color theme="0"/>
        <rFont val="DengXian"/>
        <family val="2"/>
        <charset val="128"/>
        <scheme val="minor"/>
      </rPr>
      <t>负</t>
    </r>
    <phoneticPr fontId="1"/>
  </si>
  <si>
    <r>
      <rPr>
        <sz val="11"/>
        <color theme="0"/>
        <rFont val="DengXian"/>
        <family val="2"/>
        <charset val="128"/>
        <scheme val="minor"/>
      </rPr>
      <t>进</t>
    </r>
    <phoneticPr fontId="1"/>
  </si>
  <si>
    <r>
      <rPr>
        <sz val="11"/>
        <color theme="0"/>
        <rFont val="DengXian"/>
        <family val="2"/>
        <charset val="128"/>
        <scheme val="minor"/>
      </rPr>
      <t>净</t>
    </r>
    <r>
      <rPr>
        <sz val="11"/>
        <color theme="1"/>
        <rFont val="DengXian"/>
        <family val="2"/>
        <charset val="128"/>
        <scheme val="minor"/>
      </rPr>
      <t/>
    </r>
    <phoneticPr fontId="1"/>
  </si>
  <si>
    <r>
      <rPr>
        <sz val="11"/>
        <color theme="0"/>
        <rFont val="DengXian"/>
        <family val="2"/>
        <charset val="128"/>
        <scheme val="minor"/>
      </rPr>
      <t>积</t>
    </r>
    <r>
      <rPr>
        <sz val="11"/>
        <color theme="0"/>
        <rFont val="DengXian"/>
        <family val="2"/>
        <charset val="128"/>
        <scheme val="minor"/>
      </rPr>
      <t>分</t>
    </r>
    <phoneticPr fontId="1"/>
  </si>
  <si>
    <t>拜仁慕尼黑</t>
  </si>
  <si>
    <r>
      <t>博洛尼</t>
    </r>
    <r>
      <rPr>
        <sz val="11"/>
        <color theme="1"/>
        <rFont val="DengXian"/>
        <family val="2"/>
        <charset val="128"/>
        <scheme val="minor"/>
      </rPr>
      <t>亚</t>
    </r>
    <phoneticPr fontId="1"/>
  </si>
  <si>
    <r>
      <t>尤文</t>
    </r>
    <r>
      <rPr>
        <sz val="11"/>
        <color theme="1"/>
        <rFont val="DengXian"/>
        <family val="2"/>
        <charset val="128"/>
        <scheme val="minor"/>
      </rPr>
      <t>图斯</t>
    </r>
    <phoneticPr fontId="1"/>
  </si>
  <si>
    <r>
      <t>AC米</t>
    </r>
    <r>
      <rPr>
        <sz val="11"/>
        <color theme="1"/>
        <rFont val="DengXian"/>
        <family val="2"/>
        <charset val="128"/>
        <scheme val="minor"/>
      </rPr>
      <t>兰</t>
    </r>
    <phoneticPr fontId="1"/>
  </si>
  <si>
    <r>
      <t>拉</t>
    </r>
    <r>
      <rPr>
        <sz val="11"/>
        <color theme="1"/>
        <rFont val="DengXian"/>
        <family val="2"/>
        <charset val="128"/>
        <scheme val="minor"/>
      </rPr>
      <t>齐奥</t>
    </r>
    <phoneticPr fontId="1"/>
  </si>
  <si>
    <t>那不勒斯</t>
    <phoneticPr fontId="1"/>
  </si>
  <si>
    <t>亚特兰大</t>
  </si>
  <si>
    <t>亚特兰大</t>
    <phoneticPr fontId="1"/>
  </si>
  <si>
    <r>
      <t>基</t>
    </r>
    <r>
      <rPr>
        <sz val="11"/>
        <color theme="1"/>
        <rFont val="DengXian"/>
        <family val="2"/>
        <charset val="128"/>
        <scheme val="minor"/>
      </rPr>
      <t>辅迪纳摩</t>
    </r>
    <phoneticPr fontId="1"/>
  </si>
  <si>
    <r>
      <t>圣彼得堡</t>
    </r>
    <r>
      <rPr>
        <sz val="11"/>
        <color theme="1"/>
        <rFont val="DengXian"/>
        <family val="2"/>
        <charset val="128"/>
        <scheme val="minor"/>
      </rPr>
      <t>泽尼特</t>
    </r>
    <phoneticPr fontId="1"/>
  </si>
  <si>
    <t>哥本哈根</t>
  </si>
  <si>
    <t>哥本哈根</t>
    <phoneticPr fontId="1"/>
  </si>
  <si>
    <r>
      <t>加拉塔</t>
    </r>
    <r>
      <rPr>
        <sz val="11"/>
        <color theme="1"/>
        <rFont val="DengXian"/>
        <family val="2"/>
        <charset val="128"/>
        <scheme val="minor"/>
      </rPr>
      <t>萨雷</t>
    </r>
    <phoneticPr fontId="1"/>
  </si>
  <si>
    <t>顿涅茨克矿工</t>
  </si>
  <si>
    <t>顿涅茨克矿工</t>
    <phoneticPr fontId="1"/>
  </si>
  <si>
    <t>贝西克塔斯</t>
  </si>
  <si>
    <t>贝西克塔斯</t>
    <phoneticPr fontId="1"/>
  </si>
  <si>
    <t>莫斯科中央陆军</t>
    <phoneticPr fontId="1"/>
  </si>
  <si>
    <r>
      <t>皇家</t>
    </r>
    <r>
      <rPr>
        <sz val="11"/>
        <color theme="1"/>
        <rFont val="DengXian"/>
        <family val="2"/>
        <charset val="128"/>
        <scheme val="minor"/>
      </rPr>
      <t>马德里</t>
    </r>
    <phoneticPr fontId="1"/>
  </si>
  <si>
    <t>马德里竞技</t>
  </si>
  <si>
    <t>马德里竞技</t>
    <phoneticPr fontId="1"/>
  </si>
  <si>
    <t>赫塔菲</t>
  </si>
  <si>
    <t>赫塔菲</t>
    <phoneticPr fontId="1"/>
  </si>
  <si>
    <t>毕尔巴鄂竞技</t>
    <phoneticPr fontId="1"/>
  </si>
  <si>
    <r>
      <t>瓦</t>
    </r>
    <r>
      <rPr>
        <sz val="11"/>
        <color theme="1"/>
        <rFont val="DengXian"/>
        <family val="2"/>
        <charset val="128"/>
        <scheme val="minor"/>
      </rPr>
      <t>伦西亚</t>
    </r>
    <phoneticPr fontId="1"/>
  </si>
  <si>
    <t>莱加内斯</t>
  </si>
  <si>
    <t>莱加内斯</t>
    <phoneticPr fontId="1"/>
  </si>
  <si>
    <t>圣彼得堡泽尼特</t>
  </si>
  <si>
    <t>基辅迪纳摩</t>
  </si>
  <si>
    <t>AC米兰</t>
  </si>
  <si>
    <t>博洛尼亚</t>
  </si>
  <si>
    <t>德甲</t>
    <phoneticPr fontId="1"/>
  </si>
  <si>
    <t>拜仁慕尼黑</t>
    <phoneticPr fontId="1"/>
  </si>
  <si>
    <r>
      <t>沙</t>
    </r>
    <r>
      <rPr>
        <sz val="11"/>
        <color theme="1"/>
        <rFont val="DengXian"/>
        <family val="2"/>
        <charset val="128"/>
        <scheme val="minor"/>
      </rPr>
      <t>尔克04</t>
    </r>
    <phoneticPr fontId="1"/>
  </si>
  <si>
    <r>
      <t>莱比</t>
    </r>
    <r>
      <rPr>
        <sz val="11"/>
        <color theme="1"/>
        <rFont val="DengXian"/>
        <family val="2"/>
        <charset val="128"/>
        <scheme val="minor"/>
      </rPr>
      <t>锡红牛</t>
    </r>
    <phoneticPr fontId="1"/>
  </si>
  <si>
    <t>多特蒙德</t>
  </si>
  <si>
    <t>多特蒙德</t>
    <phoneticPr fontId="1"/>
  </si>
  <si>
    <r>
      <t>勒沃</t>
    </r>
    <r>
      <rPr>
        <sz val="11"/>
        <color theme="1"/>
        <rFont val="DengXian"/>
        <family val="2"/>
        <charset val="128"/>
        <scheme val="minor"/>
      </rPr>
      <t>库森</t>
    </r>
    <phoneticPr fontId="1"/>
  </si>
  <si>
    <r>
      <t>沃</t>
    </r>
    <r>
      <rPr>
        <sz val="11"/>
        <color theme="1"/>
        <rFont val="DengXian"/>
        <family val="2"/>
        <charset val="128"/>
        <scheme val="minor"/>
      </rPr>
      <t>尔夫斯堡</t>
    </r>
    <phoneticPr fontId="1"/>
  </si>
  <si>
    <t>队名</t>
    <phoneticPr fontId="1"/>
  </si>
  <si>
    <t>失</t>
    <phoneticPr fontId="1"/>
  </si>
  <si>
    <r>
      <rPr>
        <sz val="11"/>
        <color theme="0"/>
        <rFont val="DengXian"/>
        <family val="2"/>
        <charset val="128"/>
        <scheme val="minor"/>
      </rPr>
      <t>净</t>
    </r>
    <r>
      <rPr>
        <sz val="11"/>
        <color theme="1"/>
        <rFont val="DengXian"/>
        <family val="2"/>
        <charset val="128"/>
        <scheme val="minor"/>
      </rPr>
      <t/>
    </r>
    <phoneticPr fontId="1"/>
  </si>
  <si>
    <r>
      <rPr>
        <sz val="11"/>
        <color theme="0"/>
        <rFont val="DengXian"/>
        <family val="2"/>
        <charset val="128"/>
        <scheme val="minor"/>
      </rPr>
      <t>积</t>
    </r>
    <r>
      <rPr>
        <sz val="11"/>
        <color theme="0"/>
        <rFont val="DengXian"/>
        <family val="2"/>
        <charset val="128"/>
        <scheme val="minor"/>
      </rPr>
      <t>分</t>
    </r>
    <phoneticPr fontId="1"/>
  </si>
  <si>
    <t>沙尔克04</t>
  </si>
  <si>
    <t>莱比锡红牛</t>
  </si>
  <si>
    <t>勒沃库森</t>
  </si>
  <si>
    <t>沃尔夫斯堡</t>
  </si>
  <si>
    <t>霍芬海姆</t>
  </si>
  <si>
    <r>
      <t>莫斯科中央</t>
    </r>
    <r>
      <rPr>
        <sz val="11"/>
        <color theme="1"/>
        <rFont val="DengXian"/>
        <family val="2"/>
        <charset val="128"/>
        <scheme val="minor"/>
      </rPr>
      <t>陆军</t>
    </r>
    <phoneticPr fontId="1"/>
  </si>
  <si>
    <t>欧冠</t>
    <phoneticPr fontId="1"/>
  </si>
  <si>
    <t>瓦伦西亚</t>
    <phoneticPr fontId="1"/>
  </si>
  <si>
    <r>
      <t>曼</t>
    </r>
    <r>
      <rPr>
        <sz val="11"/>
        <color theme="1"/>
        <rFont val="DengXian"/>
        <family val="2"/>
        <charset val="128"/>
        <scheme val="minor"/>
      </rPr>
      <t>彻斯特联</t>
    </r>
    <phoneticPr fontId="1"/>
  </si>
  <si>
    <t>巴黎圣日耳曼</t>
    <phoneticPr fontId="1"/>
  </si>
  <si>
    <t>本菲卡</t>
    <phoneticPr fontId="1"/>
  </si>
  <si>
    <t>埃因霍温</t>
  </si>
  <si>
    <t>埃因霍温</t>
    <phoneticPr fontId="1"/>
  </si>
  <si>
    <t>曼彻斯特联</t>
  </si>
  <si>
    <t>F</t>
    <phoneticPr fontId="1"/>
  </si>
  <si>
    <t>曼彻斯特联</t>
    <phoneticPr fontId="1"/>
  </si>
  <si>
    <t>圣彼得堡泽尼特</t>
    <phoneticPr fontId="1"/>
  </si>
  <si>
    <t>沙尔克04</t>
    <phoneticPr fontId="1"/>
  </si>
  <si>
    <t>沃尔夫斯堡</t>
    <phoneticPr fontId="1"/>
  </si>
  <si>
    <t>莱比锡红牛</t>
    <phoneticPr fontId="1"/>
  </si>
  <si>
    <t>勒沃库森</t>
    <phoneticPr fontId="1"/>
  </si>
  <si>
    <t>霍芬海姆</t>
    <phoneticPr fontId="1"/>
  </si>
  <si>
    <t>拜仁慕尼黑</t>
    <phoneticPr fontId="1"/>
  </si>
  <si>
    <t>多特蒙德</t>
    <phoneticPr fontId="1"/>
  </si>
  <si>
    <t>莱加内斯</t>
    <phoneticPr fontId="1"/>
  </si>
  <si>
    <t>瓦伦西亚</t>
    <phoneticPr fontId="1"/>
  </si>
  <si>
    <t>塞维利亚</t>
    <phoneticPr fontId="1"/>
  </si>
  <si>
    <t>毕尔巴鄂竞技</t>
    <phoneticPr fontId="1"/>
  </si>
  <si>
    <t>皇家马德里</t>
    <phoneticPr fontId="1"/>
  </si>
  <si>
    <t>赫塔菲</t>
    <phoneticPr fontId="1"/>
  </si>
  <si>
    <t>马德里竞技</t>
    <phoneticPr fontId="1"/>
  </si>
  <si>
    <t>圣彼得堡泽尼特</t>
    <phoneticPr fontId="1"/>
  </si>
  <si>
    <t>贝西克塔斯</t>
    <phoneticPr fontId="1"/>
  </si>
  <si>
    <t>哥本哈根</t>
    <phoneticPr fontId="1"/>
  </si>
  <si>
    <t>基辅迪纳摩</t>
    <phoneticPr fontId="1"/>
  </si>
  <si>
    <t>顿涅茨克矿工</t>
    <phoneticPr fontId="1"/>
  </si>
  <si>
    <t>加拉塔萨雷</t>
    <phoneticPr fontId="1"/>
  </si>
  <si>
    <t>莫斯科中央陆军</t>
    <phoneticPr fontId="1"/>
  </si>
  <si>
    <t>亚特兰大</t>
    <phoneticPr fontId="1"/>
  </si>
  <si>
    <t>国际米兰</t>
    <phoneticPr fontId="1"/>
  </si>
  <si>
    <t>博洛尼亚</t>
    <phoneticPr fontId="1"/>
  </si>
  <si>
    <t>拉齐奥</t>
    <phoneticPr fontId="1"/>
  </si>
  <si>
    <t>那不勒斯</t>
    <phoneticPr fontId="1"/>
  </si>
  <si>
    <t>AC米兰</t>
    <phoneticPr fontId="1"/>
  </si>
  <si>
    <t>尤文图斯</t>
    <phoneticPr fontId="1"/>
  </si>
  <si>
    <t>沙尔克04</t>
    <phoneticPr fontId="1"/>
  </si>
  <si>
    <t>贝2</t>
    <phoneticPr fontId="1"/>
  </si>
  <si>
    <t>磊2</t>
    <phoneticPr fontId="1"/>
  </si>
  <si>
    <t>二2</t>
    <phoneticPr fontId="1"/>
  </si>
  <si>
    <t>举2</t>
    <rPh sb="0" eb="1">
      <t>ju</t>
    </rPh>
    <phoneticPr fontId="1"/>
  </si>
  <si>
    <t>爷2</t>
    <phoneticPr fontId="1"/>
  </si>
  <si>
    <t>黑2</t>
    <rPh sb="0" eb="1">
      <t>hei</t>
    </rPh>
    <phoneticPr fontId="1"/>
  </si>
  <si>
    <t>宇2</t>
    <rPh sb="0" eb="1">
      <t>yu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</si>
</sst>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DengXian"/>
      <family val="2"/>
      <charset val="128"/>
      <scheme val="minor"/>
    </font>
    <font>
      <sz val="6"/>
      <name val="DengXian"/>
      <family val="2"/>
      <charset val="128"/>
      <scheme val="minor"/>
    </font>
    <font>
      <sz val="11"/>
      <color theme="1"/>
      <name val="DengXian"/>
      <family val="3"/>
      <charset val="134"/>
      <scheme val="minor"/>
    </font>
    <font>
      <sz val="11"/>
      <color theme="1"/>
      <name val="DengXian"/>
      <family val="3"/>
      <charset val="136"/>
      <scheme val="minor"/>
    </font>
    <font>
      <sz val="11"/>
      <color theme="0" tint="-0.14999847407452621"/>
      <name val="DengXian"/>
      <family val="3"/>
      <charset val="134"/>
      <scheme val="minor"/>
    </font>
    <font>
      <sz val="11"/>
      <color theme="0" tint="-0.14999847407452621"/>
      <name val="DengXian"/>
      <family val="3"/>
      <charset val="128"/>
      <scheme val="minor"/>
    </font>
    <font>
      <sz val="11"/>
      <color rgb="FFFF0000"/>
      <name val="DengXian"/>
      <family val="3"/>
      <charset val="134"/>
      <scheme val="minor"/>
    </font>
    <font>
      <sz val="11"/>
      <color theme="0" tint="-0.249977111117893"/>
      <name val="DengXian"/>
      <family val="3"/>
      <charset val="134"/>
      <scheme val="minor"/>
    </font>
    <font>
      <sz val="9"/>
      <name val="DengXian"/>
      <family val="2"/>
      <charset val="128"/>
      <scheme val="minor"/>
    </font>
    <font>
      <sz val="11"/>
      <color theme="0" tint="-0.249977111117893"/>
      <name val="DengXian"/>
      <family val="2"/>
      <charset val="128"/>
      <scheme val="minor"/>
    </font>
    <font>
      <sz val="11"/>
      <color theme="0"/>
      <name val="DengXian"/>
      <family val="2"/>
      <charset val="128"/>
      <scheme val="minor"/>
    </font>
    <font>
      <sz val="11"/>
      <color theme="0"/>
      <name val="DengXian"/>
      <family val="3"/>
      <charset val="128"/>
      <scheme val="minor"/>
    </font>
    <font>
      <sz val="11"/>
      <color theme="0"/>
      <name val="DengXian"/>
      <family val="3"/>
      <charset val="134"/>
      <scheme val="minor"/>
    </font>
    <font>
      <sz val="11"/>
      <color rgb="FFFF0000"/>
      <name val="DengXian"/>
      <family val="2"/>
      <charset val="128"/>
      <scheme val="minor"/>
    </font>
    <font>
      <sz val="11"/>
      <name val="DengXian"/>
      <family val="3"/>
      <charset val="128"/>
      <scheme val="minor"/>
    </font>
    <font>
      <sz val="11"/>
      <name val="DengXian"/>
      <family val="3"/>
      <charset val="134"/>
      <scheme val="minor"/>
    </font>
    <font>
      <sz val="11"/>
      <name val="DengXian"/>
      <family val="2"/>
      <charset val="128"/>
      <scheme val="minor"/>
    </font>
    <font>
      <sz val="11"/>
      <color rgb="FF000000"/>
      <name val="ＭＳ Ｐゴシック"/>
      <family val="2"/>
      <charset val="128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C97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1" tint="4.9989318521683403E-2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9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0" fillId="6" borderId="2" xfId="0" applyFill="1" applyBorder="1">
      <alignment vertical="center"/>
    </xf>
    <xf numFmtId="0" fontId="2" fillId="6" borderId="2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0" fillId="5" borderId="2" xfId="0" applyFill="1" applyBorder="1">
      <alignment vertical="center"/>
    </xf>
    <xf numFmtId="0" fontId="2" fillId="7" borderId="2" xfId="0" applyFont="1" applyFill="1" applyBorder="1">
      <alignment vertical="center"/>
    </xf>
    <xf numFmtId="0" fontId="2" fillId="8" borderId="2" xfId="0" applyFont="1" applyFill="1" applyBorder="1">
      <alignment vertical="center"/>
    </xf>
    <xf numFmtId="0" fontId="3" fillId="8" borderId="2" xfId="0" applyFont="1" applyFill="1" applyBorder="1">
      <alignment vertical="center"/>
    </xf>
    <xf numFmtId="0" fontId="4" fillId="0" borderId="6" xfId="0" applyFont="1" applyFill="1" applyBorder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9" borderId="6" xfId="0" applyFont="1" applyFill="1" applyBorder="1">
      <alignment vertical="center"/>
    </xf>
    <xf numFmtId="0" fontId="0" fillId="11" borderId="7" xfId="0" applyFill="1" applyBorder="1">
      <alignment vertical="center"/>
    </xf>
    <xf numFmtId="0" fontId="0" fillId="0" borderId="7" xfId="0" applyFont="1" applyBorder="1">
      <alignment vertical="center"/>
    </xf>
    <xf numFmtId="0" fontId="0" fillId="0" borderId="7" xfId="0" applyBorder="1">
      <alignment vertical="center"/>
    </xf>
    <xf numFmtId="0" fontId="2" fillId="0" borderId="7" xfId="0" applyFont="1" applyBorder="1">
      <alignment vertical="center"/>
    </xf>
    <xf numFmtId="0" fontId="0" fillId="0" borderId="7" xfId="0" applyFont="1" applyFill="1" applyBorder="1">
      <alignment vertical="center"/>
    </xf>
    <xf numFmtId="0" fontId="0" fillId="9" borderId="7" xfId="0" applyFont="1" applyFill="1" applyBorder="1">
      <alignment vertical="center"/>
    </xf>
    <xf numFmtId="0" fontId="2" fillId="9" borderId="7" xfId="0" applyFont="1" applyFill="1" applyBorder="1">
      <alignment vertical="center"/>
    </xf>
    <xf numFmtId="0" fontId="0" fillId="9" borderId="7" xfId="0" applyFill="1" applyBorder="1">
      <alignment vertical="center"/>
    </xf>
    <xf numFmtId="0" fontId="0" fillId="10" borderId="7" xfId="0" applyFill="1" applyBorder="1">
      <alignment vertical="center"/>
    </xf>
    <xf numFmtId="0" fontId="0" fillId="12" borderId="0" xfId="0" applyFont="1" applyFill="1" applyBorder="1">
      <alignment vertical="center"/>
    </xf>
    <xf numFmtId="0" fontId="9" fillId="0" borderId="0" xfId="0" applyFont="1">
      <alignment vertical="center"/>
    </xf>
    <xf numFmtId="0" fontId="0" fillId="12" borderId="0" xfId="0" applyFill="1" applyBorder="1">
      <alignment vertical="center"/>
    </xf>
    <xf numFmtId="0" fontId="2" fillId="12" borderId="0" xfId="0" applyFont="1" applyFill="1">
      <alignment vertical="center"/>
    </xf>
    <xf numFmtId="0" fontId="0" fillId="12" borderId="0" xfId="0" applyFill="1">
      <alignment vertical="center"/>
    </xf>
    <xf numFmtId="0" fontId="0" fillId="13" borderId="7" xfId="0" applyFill="1" applyBorder="1">
      <alignment vertical="center"/>
    </xf>
    <xf numFmtId="0" fontId="0" fillId="5" borderId="0" xfId="0" applyFill="1">
      <alignment vertical="center"/>
    </xf>
    <xf numFmtId="0" fontId="10" fillId="14" borderId="2" xfId="0" applyFont="1" applyFill="1" applyBorder="1">
      <alignment vertical="center"/>
    </xf>
    <xf numFmtId="0" fontId="11" fillId="14" borderId="2" xfId="0" applyFont="1" applyFill="1" applyBorder="1">
      <alignment vertical="center"/>
    </xf>
    <xf numFmtId="0" fontId="13" fillId="0" borderId="0" xfId="0" applyFont="1">
      <alignment vertical="center"/>
    </xf>
    <xf numFmtId="0" fontId="3" fillId="5" borderId="2" xfId="0" applyFont="1" applyFill="1" applyBorder="1">
      <alignment vertical="center"/>
    </xf>
    <xf numFmtId="0" fontId="15" fillId="4" borderId="2" xfId="0" applyFont="1" applyFill="1" applyBorder="1">
      <alignment vertical="center"/>
    </xf>
    <xf numFmtId="0" fontId="14" fillId="4" borderId="2" xfId="0" applyFont="1" applyFill="1" applyBorder="1">
      <alignment vertical="center"/>
    </xf>
    <xf numFmtId="0" fontId="12" fillId="15" borderId="2" xfId="0" applyFont="1" applyFill="1" applyBorder="1">
      <alignment vertical="center"/>
    </xf>
    <xf numFmtId="0" fontId="11" fillId="15" borderId="2" xfId="0" applyFont="1" applyFill="1" applyBorder="1">
      <alignment vertical="center"/>
    </xf>
    <xf numFmtId="0" fontId="16" fillId="2" borderId="0" xfId="0" applyFont="1" applyFill="1" applyAlignment="1">
      <alignment vertical="center"/>
    </xf>
    <xf numFmtId="0" fontId="14" fillId="0" borderId="0" xfId="0" applyFont="1">
      <alignment vertical="center"/>
    </xf>
    <xf numFmtId="0" fontId="0" fillId="0" borderId="0" xfId="0" applyFill="1">
      <alignment vertical="center"/>
    </xf>
    <xf numFmtId="0" fontId="0" fillId="4" borderId="7" xfId="0" applyFill="1" applyBorder="1">
      <alignment vertical="center"/>
    </xf>
    <xf numFmtId="0" fontId="2" fillId="4" borderId="7" xfId="0" applyFont="1" applyFill="1" applyBorder="1">
      <alignment vertical="center"/>
    </xf>
    <xf numFmtId="0" fontId="0" fillId="4" borderId="0" xfId="0" applyFill="1">
      <alignment vertical="center"/>
    </xf>
    <xf numFmtId="0" fontId="14" fillId="4" borderId="0" xfId="0" applyFont="1" applyFill="1">
      <alignment vertical="center"/>
    </xf>
    <xf numFmtId="0" fontId="2" fillId="0" borderId="7" xfId="0" applyFont="1" applyFill="1" applyBorder="1">
      <alignment vertical="center"/>
    </xf>
    <xf numFmtId="0" fontId="2" fillId="10" borderId="7" xfId="0" applyFont="1" applyFill="1" applyBorder="1">
      <alignment vertical="center"/>
    </xf>
    <xf numFmtId="0" fontId="0" fillId="10" borderId="7" xfId="0" applyFont="1" applyFill="1" applyBorder="1">
      <alignment vertical="center"/>
    </xf>
  </cellXfs>
  <cellStyles count="1">
    <cellStyle name="常规" xfId="0" builtinId="0"/>
  </cellStyles>
  <dxfs count="5">
    <dxf>
      <font>
        <color theme="0"/>
      </font>
      <fill>
        <patternFill>
          <bgColor theme="8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9" defaultPivotStyle="PivotStyleLight16"/>
  <colors>
    <mruColors>
      <color rgb="FF000099"/>
      <color rgb="FFF2C97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431800</xdr:colOff>
          <xdr:row>4</xdr:row>
          <xdr:rowOff>139700</xdr:rowOff>
        </xdr:from>
        <xdr:to>
          <xdr:col>15</xdr:col>
          <xdr:colOff>863600</xdr:colOff>
          <xdr:row>9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622300</xdr:colOff>
          <xdr:row>3</xdr:row>
          <xdr:rowOff>25400</xdr:rowOff>
        </xdr:from>
        <xdr:to>
          <xdr:col>15</xdr:col>
          <xdr:colOff>139700</xdr:colOff>
          <xdr:row>7</xdr:row>
          <xdr:rowOff>165100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355600</xdr:colOff>
          <xdr:row>5</xdr:row>
          <xdr:rowOff>203200</xdr:rowOff>
        </xdr:from>
        <xdr:to>
          <xdr:col>15</xdr:col>
          <xdr:colOff>787400</xdr:colOff>
          <xdr:row>10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355600</xdr:colOff>
          <xdr:row>5</xdr:row>
          <xdr:rowOff>203200</xdr:rowOff>
        </xdr:from>
        <xdr:to>
          <xdr:col>15</xdr:col>
          <xdr:colOff>787400</xdr:colOff>
          <xdr:row>10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355600</xdr:colOff>
          <xdr:row>5</xdr:row>
          <xdr:rowOff>203200</xdr:rowOff>
        </xdr:from>
        <xdr:to>
          <xdr:col>15</xdr:col>
          <xdr:colOff>787400</xdr:colOff>
          <xdr:row>10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  <a:cs typeface="ＭＳ Ｐゴシック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DengXian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4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trlProp" Target="../ctrlProps/ctrlProp4.xml"/><Relationship Id="rId1" Type="http://schemas.openxmlformats.org/officeDocument/2006/relationships/printerSettings" Target="../printerSettings/printerSettings4.bin"/><Relationship Id="rId2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4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5.bin"/><Relationship Id="rId2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83"/>
  <sheetViews>
    <sheetView tabSelected="1" topLeftCell="A62" zoomScale="131" zoomScaleNormal="85" workbookViewId="0">
      <selection activeCell="M65" sqref="M65"/>
    </sheetView>
  </sheetViews>
  <sheetFormatPr baseColWidth="10" defaultColWidth="8.83203125" defaultRowHeight="15" outlineLevelRow="1" x14ac:dyDescent="0.2"/>
  <cols>
    <col min="1" max="1" width="10.33203125" customWidth="1"/>
    <col min="2" max="5" width="9.83203125" customWidth="1"/>
    <col min="6" max="6" width="15.1640625" bestFit="1" customWidth="1"/>
    <col min="7" max="8" width="9.83203125" customWidth="1"/>
  </cols>
  <sheetData>
    <row r="1" spans="1:6" x14ac:dyDescent="0.2">
      <c r="B1" s="25" t="s">
        <v>54</v>
      </c>
      <c r="C1" s="25" t="s">
        <v>58</v>
      </c>
      <c r="D1" s="25" t="s">
        <v>52</v>
      </c>
      <c r="E1" s="25" t="s">
        <v>101</v>
      </c>
      <c r="F1" s="25" t="s">
        <v>119</v>
      </c>
    </row>
    <row r="2" spans="1:6" x14ac:dyDescent="0.2">
      <c r="A2" s="26" t="s">
        <v>41</v>
      </c>
      <c r="B2" s="52" t="s">
        <v>96</v>
      </c>
      <c r="C2" s="27" t="s">
        <v>78</v>
      </c>
      <c r="D2" s="27" t="s">
        <v>71</v>
      </c>
      <c r="E2" s="52" t="s">
        <v>108</v>
      </c>
      <c r="F2" s="52" t="s">
        <v>103</v>
      </c>
    </row>
    <row r="3" spans="1:6" x14ac:dyDescent="0.2">
      <c r="A3" s="28" t="s">
        <v>43</v>
      </c>
      <c r="B3" s="27" t="s">
        <v>42</v>
      </c>
      <c r="C3" s="52" t="s">
        <v>79</v>
      </c>
      <c r="D3" s="53" t="s">
        <v>77</v>
      </c>
      <c r="E3" s="27" t="s">
        <v>117</v>
      </c>
      <c r="F3" s="53" t="s">
        <v>77</v>
      </c>
    </row>
    <row r="4" spans="1:6" x14ac:dyDescent="0.2">
      <c r="A4" s="27" t="s">
        <v>45</v>
      </c>
      <c r="B4" s="52" t="s">
        <v>94</v>
      </c>
      <c r="C4" s="27" t="s">
        <v>81</v>
      </c>
      <c r="D4" s="52" t="s">
        <v>44</v>
      </c>
      <c r="E4" s="27" t="s">
        <v>107</v>
      </c>
      <c r="F4" s="52" t="s">
        <v>44</v>
      </c>
    </row>
    <row r="5" spans="1:6" x14ac:dyDescent="0.2">
      <c r="A5" s="29" t="s">
        <v>46</v>
      </c>
      <c r="B5" s="27" t="s">
        <v>88</v>
      </c>
      <c r="C5" s="27" t="s">
        <v>82</v>
      </c>
      <c r="D5" s="27" t="s">
        <v>73</v>
      </c>
      <c r="E5" s="27" t="s">
        <v>106</v>
      </c>
      <c r="F5" s="27"/>
    </row>
    <row r="6" spans="1:6" x14ac:dyDescent="0.2">
      <c r="A6" s="28" t="s">
        <v>47</v>
      </c>
      <c r="B6" s="27" t="s">
        <v>92</v>
      </c>
      <c r="C6" s="28" t="s">
        <v>84</v>
      </c>
      <c r="D6" s="27" t="s">
        <v>74</v>
      </c>
      <c r="E6" s="27" t="s">
        <v>104</v>
      </c>
      <c r="F6" s="27" t="s">
        <v>123</v>
      </c>
    </row>
    <row r="7" spans="1:6" x14ac:dyDescent="0.2">
      <c r="A7" s="26" t="s">
        <v>48</v>
      </c>
      <c r="B7" s="28" t="s">
        <v>93</v>
      </c>
      <c r="C7" s="53" t="s">
        <v>86</v>
      </c>
      <c r="D7" s="27" t="s">
        <v>75</v>
      </c>
      <c r="E7" s="52" t="s">
        <v>103</v>
      </c>
      <c r="F7" s="27" t="s">
        <v>122</v>
      </c>
    </row>
    <row r="8" spans="1:6" x14ac:dyDescent="0.2">
      <c r="A8" s="26" t="s">
        <v>49</v>
      </c>
      <c r="B8" s="28" t="s">
        <v>90</v>
      </c>
      <c r="C8" s="28" t="s">
        <v>87</v>
      </c>
      <c r="D8" s="27" t="s">
        <v>72</v>
      </c>
      <c r="E8" s="27" t="s">
        <v>102</v>
      </c>
      <c r="F8" s="27" t="s">
        <v>121</v>
      </c>
    </row>
    <row r="9" spans="1:6" x14ac:dyDescent="0.2">
      <c r="A9" s="28" t="s">
        <v>159</v>
      </c>
      <c r="B9" s="27"/>
      <c r="C9" s="27"/>
      <c r="D9" s="27"/>
      <c r="E9" s="27"/>
      <c r="F9" s="52" t="s">
        <v>96</v>
      </c>
    </row>
    <row r="10" spans="1:6" x14ac:dyDescent="0.2">
      <c r="A10" s="28" t="s">
        <v>160</v>
      </c>
      <c r="B10" s="27"/>
      <c r="C10" s="27"/>
      <c r="D10" s="28"/>
      <c r="E10" s="27"/>
      <c r="F10" s="27" t="s">
        <v>79</v>
      </c>
    </row>
    <row r="11" spans="1:6" x14ac:dyDescent="0.2">
      <c r="A11" s="27" t="s">
        <v>161</v>
      </c>
      <c r="B11" s="27"/>
      <c r="C11" s="27"/>
      <c r="D11" s="27"/>
      <c r="E11" s="27"/>
      <c r="F11" s="52" t="s">
        <v>108</v>
      </c>
    </row>
    <row r="12" spans="1:6" x14ac:dyDescent="0.2">
      <c r="A12" s="56" t="s">
        <v>162</v>
      </c>
      <c r="B12" s="27"/>
      <c r="C12" s="27"/>
      <c r="D12" s="27"/>
      <c r="E12" s="27"/>
      <c r="F12" s="27"/>
    </row>
    <row r="13" spans="1:6" x14ac:dyDescent="0.2">
      <c r="A13" s="28" t="s">
        <v>163</v>
      </c>
      <c r="B13" s="27"/>
      <c r="C13" s="28"/>
      <c r="D13" s="27"/>
      <c r="E13" s="27"/>
      <c r="F13" s="27" t="s">
        <v>125</v>
      </c>
    </row>
    <row r="14" spans="1:6" x14ac:dyDescent="0.2">
      <c r="A14" s="27" t="s">
        <v>164</v>
      </c>
      <c r="B14" s="28"/>
      <c r="C14" s="28"/>
      <c r="D14" s="27"/>
      <c r="E14" s="27"/>
      <c r="F14" s="53" t="s">
        <v>86</v>
      </c>
    </row>
    <row r="15" spans="1:6" x14ac:dyDescent="0.2">
      <c r="A15" s="27" t="s">
        <v>165</v>
      </c>
      <c r="B15" s="28"/>
      <c r="C15" s="28"/>
      <c r="D15" s="27"/>
      <c r="E15" s="27"/>
      <c r="F15" s="52" t="s">
        <v>94</v>
      </c>
    </row>
    <row r="19" spans="1:8" x14ac:dyDescent="0.2">
      <c r="B19">
        <f ca="1">SUM(B21:B27)</f>
        <v>0</v>
      </c>
      <c r="C19">
        <f t="shared" ref="C19:G19" ca="1" si="0">SUM(C21:C27)</f>
        <v>1</v>
      </c>
      <c r="D19">
        <f t="shared" ca="1" si="0"/>
        <v>2</v>
      </c>
      <c r="E19">
        <f t="shared" ca="1" si="0"/>
        <v>0</v>
      </c>
      <c r="F19">
        <f t="shared" ca="1" si="0"/>
        <v>2</v>
      </c>
      <c r="G19">
        <f t="shared" ca="1" si="0"/>
        <v>1</v>
      </c>
      <c r="H19">
        <f ca="1">SUM(H21:H27)</f>
        <v>2</v>
      </c>
    </row>
    <row r="20" spans="1:8" x14ac:dyDescent="0.2">
      <c r="A20" s="40" t="str">
        <f ca="1">"残比"&amp;SUM(B21:H27)/2</f>
        <v>残比4</v>
      </c>
      <c r="B20" s="32" t="s">
        <v>50</v>
      </c>
      <c r="C20" s="32" t="s">
        <v>43</v>
      </c>
      <c r="D20" s="32" t="s">
        <v>51</v>
      </c>
      <c r="E20" s="32" t="s">
        <v>46</v>
      </c>
      <c r="F20" s="32" t="s">
        <v>47</v>
      </c>
      <c r="G20" s="32" t="s">
        <v>48</v>
      </c>
      <c r="H20" s="32" t="s">
        <v>49</v>
      </c>
    </row>
    <row r="21" spans="1:8" x14ac:dyDescent="0.2">
      <c r="A21" s="30" t="s">
        <v>41</v>
      </c>
      <c r="B21" s="39"/>
      <c r="C21" s="27">
        <f ca="1">C31+C41+C51+C61+C70</f>
        <v>0</v>
      </c>
      <c r="D21" s="27">
        <f t="shared" ref="D21:H22" ca="1" si="1">D31+D41+D51+D61+D70</f>
        <v>0</v>
      </c>
      <c r="E21" s="27">
        <f t="shared" ca="1" si="1"/>
        <v>0</v>
      </c>
      <c r="F21" s="27">
        <f t="shared" ca="1" si="1"/>
        <v>0</v>
      </c>
      <c r="G21" s="27">
        <f t="shared" ca="1" si="1"/>
        <v>0</v>
      </c>
      <c r="H21" s="27">
        <f t="shared" ca="1" si="1"/>
        <v>0</v>
      </c>
    </row>
    <row r="22" spans="1:8" x14ac:dyDescent="0.2">
      <c r="A22" s="31" t="s">
        <v>43</v>
      </c>
      <c r="B22" s="27">
        <f ca="1">B32+B42+B52+B62+B71</f>
        <v>0</v>
      </c>
      <c r="C22" s="39"/>
      <c r="D22" s="27">
        <f t="shared" ca="1" si="1"/>
        <v>0</v>
      </c>
      <c r="E22" s="27">
        <f t="shared" ca="1" si="1"/>
        <v>0</v>
      </c>
      <c r="F22" s="27">
        <f t="shared" ca="1" si="1"/>
        <v>0</v>
      </c>
      <c r="G22" s="27">
        <f t="shared" ca="1" si="1"/>
        <v>0</v>
      </c>
      <c r="H22" s="27">
        <f t="shared" ca="1" si="1"/>
        <v>1</v>
      </c>
    </row>
    <row r="23" spans="1:8" x14ac:dyDescent="0.2">
      <c r="A23" s="32" t="s">
        <v>45</v>
      </c>
      <c r="B23" s="27">
        <f t="shared" ref="B23:F27" ca="1" si="2">B33+B43+B53+B63+B72</f>
        <v>0</v>
      </c>
      <c r="C23" s="27">
        <f t="shared" ca="1" si="2"/>
        <v>0</v>
      </c>
      <c r="D23" s="39"/>
      <c r="E23" s="27">
        <f t="shared" ref="E23:H23" ca="1" si="3">E33+E43+E53+E63+E72</f>
        <v>0</v>
      </c>
      <c r="F23" s="27">
        <f t="shared" ca="1" si="3"/>
        <v>1</v>
      </c>
      <c r="G23" s="27">
        <f t="shared" ca="1" si="3"/>
        <v>1</v>
      </c>
      <c r="H23" s="27">
        <f t="shared" ca="1" si="3"/>
        <v>0</v>
      </c>
    </row>
    <row r="24" spans="1:8" x14ac:dyDescent="0.2">
      <c r="A24" s="30" t="s">
        <v>46</v>
      </c>
      <c r="B24" s="27">
        <f t="shared" ca="1" si="2"/>
        <v>0</v>
      </c>
      <c r="C24" s="27">
        <f t="shared" ca="1" si="2"/>
        <v>0</v>
      </c>
      <c r="D24" s="27">
        <f t="shared" ca="1" si="2"/>
        <v>0</v>
      </c>
      <c r="E24" s="39"/>
      <c r="F24" s="27">
        <f t="shared" ref="F24:H24" ca="1" si="4">F34+F44+F54+F64+F73</f>
        <v>0</v>
      </c>
      <c r="G24" s="27">
        <f t="shared" ca="1" si="4"/>
        <v>0</v>
      </c>
      <c r="H24" s="27">
        <f t="shared" ca="1" si="4"/>
        <v>0</v>
      </c>
    </row>
    <row r="25" spans="1:8" x14ac:dyDescent="0.2">
      <c r="A25" s="31" t="s">
        <v>47</v>
      </c>
      <c r="B25" s="27">
        <f t="shared" ca="1" si="2"/>
        <v>0</v>
      </c>
      <c r="C25" s="27">
        <f t="shared" ca="1" si="2"/>
        <v>0</v>
      </c>
      <c r="D25" s="27">
        <f t="shared" ca="1" si="2"/>
        <v>1</v>
      </c>
      <c r="E25" s="27">
        <f t="shared" ca="1" si="2"/>
        <v>0</v>
      </c>
      <c r="F25" s="39"/>
      <c r="G25" s="27">
        <f t="shared" ref="G25:H25" ca="1" si="5">G35+G45+G55+G65+G74</f>
        <v>0</v>
      </c>
      <c r="H25" s="27">
        <f t="shared" ca="1" si="5"/>
        <v>1</v>
      </c>
    </row>
    <row r="26" spans="1:8" x14ac:dyDescent="0.2">
      <c r="A26" s="30" t="s">
        <v>48</v>
      </c>
      <c r="B26" s="27">
        <f t="shared" ca="1" si="2"/>
        <v>0</v>
      </c>
      <c r="C26" s="27">
        <f t="shared" ca="1" si="2"/>
        <v>0</v>
      </c>
      <c r="D26" s="27">
        <f t="shared" ca="1" si="2"/>
        <v>1</v>
      </c>
      <c r="E26" s="27">
        <f t="shared" ca="1" si="2"/>
        <v>0</v>
      </c>
      <c r="F26" s="27">
        <f t="shared" ca="1" si="2"/>
        <v>0</v>
      </c>
      <c r="G26" s="39"/>
      <c r="H26" s="27">
        <f t="shared" ref="H26" ca="1" si="6">H36+H46+H56+H66+H75</f>
        <v>0</v>
      </c>
    </row>
    <row r="27" spans="1:8" x14ac:dyDescent="0.2">
      <c r="A27" s="30" t="s">
        <v>49</v>
      </c>
      <c r="B27" s="27">
        <f t="shared" ca="1" si="2"/>
        <v>0</v>
      </c>
      <c r="C27" s="27">
        <f t="shared" ca="1" si="2"/>
        <v>1</v>
      </c>
      <c r="D27" s="27">
        <f t="shared" ca="1" si="2"/>
        <v>0</v>
      </c>
      <c r="E27" s="27">
        <f t="shared" ca="1" si="2"/>
        <v>0</v>
      </c>
      <c r="F27" s="27">
        <f t="shared" ca="1" si="2"/>
        <v>1</v>
      </c>
      <c r="G27" s="27">
        <f ca="1">G37+G47+G57+G67+G76</f>
        <v>0</v>
      </c>
      <c r="H27" s="39"/>
    </row>
    <row r="30" spans="1:8" outlineLevel="1" x14ac:dyDescent="0.2">
      <c r="A30" s="36" t="s">
        <v>54</v>
      </c>
      <c r="B30" s="32" t="s">
        <v>50</v>
      </c>
      <c r="C30" s="32" t="s">
        <v>43</v>
      </c>
      <c r="D30" s="32" t="s">
        <v>51</v>
      </c>
      <c r="E30" s="32" t="s">
        <v>46</v>
      </c>
      <c r="F30" s="32" t="s">
        <v>47</v>
      </c>
      <c r="G30" s="32" t="s">
        <v>48</v>
      </c>
      <c r="H30" s="32" t="s">
        <v>49</v>
      </c>
    </row>
    <row r="31" spans="1:8" outlineLevel="1" x14ac:dyDescent="0.2">
      <c r="A31" s="30" t="s">
        <v>41</v>
      </c>
      <c r="B31" s="33"/>
      <c r="C31" s="27">
        <f ca="1">COUNTIF(INDIRECT($A$30&amp;"!$H:$H"),$A31&amp;C$30)+COUNTIF(INDIRECT($A$30&amp;"!$H:$H"),C$30&amp;$A31)</f>
        <v>0</v>
      </c>
      <c r="D31" s="27">
        <f t="shared" ref="D31:H35" ca="1" si="7">COUNTIF(INDIRECT($A$30&amp;"!$H:$H"),$A31&amp;D$30)+COUNTIF(INDIRECT($A$30&amp;"!$H:$H"),D$30&amp;$A31)</f>
        <v>0</v>
      </c>
      <c r="E31" s="27">
        <f t="shared" ca="1" si="7"/>
        <v>0</v>
      </c>
      <c r="F31" s="27">
        <f t="shared" ca="1" si="7"/>
        <v>0</v>
      </c>
      <c r="G31" s="27">
        <f t="shared" ca="1" si="7"/>
        <v>0</v>
      </c>
      <c r="H31" s="27">
        <f t="shared" ca="1" si="7"/>
        <v>0</v>
      </c>
    </row>
    <row r="32" spans="1:8" outlineLevel="1" x14ac:dyDescent="0.2">
      <c r="A32" s="31" t="s">
        <v>43</v>
      </c>
      <c r="B32" s="27">
        <f ca="1">COUNTIF(INDIRECT($A$30&amp;"!$H:$H"),$A32&amp;B$30)+COUNTIF(INDIRECT($A$30&amp;"!$H:$H"),B$30&amp;$A32)</f>
        <v>0</v>
      </c>
      <c r="C32" s="33"/>
      <c r="D32" s="27">
        <f t="shared" ca="1" si="7"/>
        <v>0</v>
      </c>
      <c r="E32" s="27">
        <f t="shared" ca="1" si="7"/>
        <v>0</v>
      </c>
      <c r="F32" s="27">
        <f t="shared" ca="1" si="7"/>
        <v>0</v>
      </c>
      <c r="G32" s="27">
        <f t="shared" ca="1" si="7"/>
        <v>0</v>
      </c>
      <c r="H32" s="27">
        <f t="shared" ca="1" si="7"/>
        <v>0</v>
      </c>
    </row>
    <row r="33" spans="1:8" outlineLevel="1" x14ac:dyDescent="0.2">
      <c r="A33" s="32" t="s">
        <v>45</v>
      </c>
      <c r="B33" s="27">
        <f t="shared" ref="B33:E37" ca="1" si="8">COUNTIF(INDIRECT($A$30&amp;"!$H:$H"),$A33&amp;B$30)+COUNTIF(INDIRECT($A$30&amp;"!$H:$H"),B$30&amp;$A33)</f>
        <v>0</v>
      </c>
      <c r="C33" s="27">
        <f ca="1">COUNTIF(INDIRECT($A$30&amp;"!$H:$H"),$A33&amp;C$30)+COUNTIF(INDIRECT($A$30&amp;"!$H:$H"),C$30&amp;$A33)</f>
        <v>0</v>
      </c>
      <c r="D33" s="33"/>
      <c r="E33" s="27">
        <f t="shared" ca="1" si="7"/>
        <v>0</v>
      </c>
      <c r="F33" s="27">
        <f t="shared" ca="1" si="7"/>
        <v>0</v>
      </c>
      <c r="G33" s="27">
        <f t="shared" ca="1" si="7"/>
        <v>0</v>
      </c>
      <c r="H33" s="27">
        <f t="shared" ca="1" si="7"/>
        <v>0</v>
      </c>
    </row>
    <row r="34" spans="1:8" outlineLevel="1" x14ac:dyDescent="0.2">
      <c r="A34" s="30" t="s">
        <v>46</v>
      </c>
      <c r="B34" s="27">
        <f t="shared" ca="1" si="8"/>
        <v>0</v>
      </c>
      <c r="C34" s="27">
        <f t="shared" ca="1" si="8"/>
        <v>0</v>
      </c>
      <c r="D34" s="27">
        <f t="shared" ca="1" si="8"/>
        <v>0</v>
      </c>
      <c r="E34" s="33"/>
      <c r="F34" s="27">
        <f t="shared" ca="1" si="7"/>
        <v>0</v>
      </c>
      <c r="G34" s="27">
        <f t="shared" ca="1" si="7"/>
        <v>0</v>
      </c>
      <c r="H34" s="27">
        <f t="shared" ca="1" si="7"/>
        <v>0</v>
      </c>
    </row>
    <row r="35" spans="1:8" outlineLevel="1" x14ac:dyDescent="0.2">
      <c r="A35" s="31" t="s">
        <v>47</v>
      </c>
      <c r="B35" s="27">
        <f t="shared" ca="1" si="8"/>
        <v>0</v>
      </c>
      <c r="C35" s="27">
        <f t="shared" ca="1" si="8"/>
        <v>0</v>
      </c>
      <c r="D35" s="27">
        <f t="shared" ca="1" si="8"/>
        <v>0</v>
      </c>
      <c r="E35" s="27">
        <f t="shared" ca="1" si="8"/>
        <v>0</v>
      </c>
      <c r="F35" s="33"/>
      <c r="G35" s="27">
        <f t="shared" ca="1" si="7"/>
        <v>0</v>
      </c>
      <c r="H35" s="27">
        <f t="shared" ca="1" si="7"/>
        <v>0</v>
      </c>
    </row>
    <row r="36" spans="1:8" outlineLevel="1" x14ac:dyDescent="0.2">
      <c r="A36" s="30" t="s">
        <v>48</v>
      </c>
      <c r="B36" s="27">
        <f t="shared" ca="1" si="8"/>
        <v>0</v>
      </c>
      <c r="C36" s="27">
        <f t="shared" ca="1" si="8"/>
        <v>0</v>
      </c>
      <c r="D36" s="27">
        <f t="shared" ca="1" si="8"/>
        <v>0</v>
      </c>
      <c r="E36" s="27">
        <f t="shared" ca="1" si="8"/>
        <v>0</v>
      </c>
      <c r="F36" s="27">
        <f ca="1">COUNTIF(INDIRECT($A$30&amp;"!$H:$H"),$A36&amp;F$30)+COUNTIF(INDIRECT($A$30&amp;"!$H:$H"),F$30&amp;$A36)</f>
        <v>0</v>
      </c>
      <c r="G36" s="33"/>
      <c r="H36" s="27">
        <f ca="1">COUNTIF(INDIRECT($A$30&amp;"!$H:$H"),$A36&amp;H$30)+COUNTIF(INDIRECT($A$30&amp;"!$H:$H"),H$30&amp;$A36)</f>
        <v>0</v>
      </c>
    </row>
    <row r="37" spans="1:8" outlineLevel="1" x14ac:dyDescent="0.2">
      <c r="A37" s="30" t="s">
        <v>49</v>
      </c>
      <c r="B37" s="27">
        <f t="shared" ca="1" si="8"/>
        <v>0</v>
      </c>
      <c r="C37" s="27">
        <f t="shared" ca="1" si="8"/>
        <v>0</v>
      </c>
      <c r="D37" s="27">
        <f t="shared" ca="1" si="8"/>
        <v>0</v>
      </c>
      <c r="E37" s="27">
        <f t="shared" ca="1" si="8"/>
        <v>0</v>
      </c>
      <c r="F37" s="27">
        <f t="shared" ref="F37:G37" ca="1" si="9">COUNTIF(INDIRECT($A$30&amp;"!$H:$H"),$A37&amp;F$30)+COUNTIF(INDIRECT($A$30&amp;"!$H:$H"),F$30&amp;$A37)</f>
        <v>0</v>
      </c>
      <c r="G37" s="27">
        <f t="shared" ca="1" si="9"/>
        <v>0</v>
      </c>
      <c r="H37" s="33"/>
    </row>
    <row r="38" spans="1:8" outlineLevel="1" x14ac:dyDescent="0.2"/>
    <row r="39" spans="1:8" outlineLevel="1" x14ac:dyDescent="0.2"/>
    <row r="40" spans="1:8" outlineLevel="1" x14ac:dyDescent="0.2">
      <c r="A40" s="34" t="s">
        <v>53</v>
      </c>
      <c r="B40" s="32" t="s">
        <v>50</v>
      </c>
      <c r="C40" s="32" t="s">
        <v>43</v>
      </c>
      <c r="D40" s="32" t="s">
        <v>51</v>
      </c>
      <c r="E40" s="32" t="s">
        <v>46</v>
      </c>
      <c r="F40" s="32" t="s">
        <v>47</v>
      </c>
      <c r="G40" s="32" t="s">
        <v>48</v>
      </c>
      <c r="H40" s="32" t="s">
        <v>49</v>
      </c>
    </row>
    <row r="41" spans="1:8" outlineLevel="1" x14ac:dyDescent="0.2">
      <c r="A41" s="30" t="s">
        <v>41</v>
      </c>
      <c r="B41" s="33"/>
      <c r="C41" s="27">
        <f ca="1">COUNTIF(INDIRECT($A$40&amp;"!$H:$H"),$A41&amp;C$30)+COUNTIF(INDIRECT($A$40&amp;"!$H:$H"),C$30&amp;$A41)</f>
        <v>0</v>
      </c>
      <c r="D41" s="27">
        <f t="shared" ref="D41:H46" ca="1" si="10">COUNTIF(INDIRECT($A$40&amp;"!$H:$H"),$A41&amp;D$30)+COUNTIF(INDIRECT($A$40&amp;"!$H:$H"),D$30&amp;$A41)</f>
        <v>0</v>
      </c>
      <c r="E41" s="27">
        <f t="shared" ca="1" si="10"/>
        <v>0</v>
      </c>
      <c r="F41" s="27">
        <f t="shared" ca="1" si="10"/>
        <v>0</v>
      </c>
      <c r="G41" s="27">
        <f t="shared" ca="1" si="10"/>
        <v>0</v>
      </c>
      <c r="H41" s="27">
        <f t="shared" ca="1" si="10"/>
        <v>0</v>
      </c>
    </row>
    <row r="42" spans="1:8" outlineLevel="1" x14ac:dyDescent="0.2">
      <c r="A42" s="31" t="s">
        <v>43</v>
      </c>
      <c r="B42" s="27">
        <f ca="1">COUNTIF(INDIRECT($A$40&amp;"!$H:$H"),$A42&amp;B$30)+COUNTIF(INDIRECT($A$40&amp;"!$H:$H"),B$30&amp;$A42)</f>
        <v>0</v>
      </c>
      <c r="C42" s="33"/>
      <c r="D42" s="27">
        <f t="shared" ca="1" si="10"/>
        <v>0</v>
      </c>
      <c r="E42" s="27">
        <f t="shared" ca="1" si="10"/>
        <v>0</v>
      </c>
      <c r="F42" s="27">
        <f t="shared" ca="1" si="10"/>
        <v>0</v>
      </c>
      <c r="G42" s="27">
        <f t="shared" ca="1" si="10"/>
        <v>0</v>
      </c>
      <c r="H42" s="27">
        <f t="shared" ca="1" si="10"/>
        <v>0</v>
      </c>
    </row>
    <row r="43" spans="1:8" outlineLevel="1" x14ac:dyDescent="0.2">
      <c r="A43" s="32" t="s">
        <v>45</v>
      </c>
      <c r="B43" s="27">
        <f t="shared" ref="B43:F47" ca="1" si="11">COUNTIF(INDIRECT($A$40&amp;"!$H:$H"),$A43&amp;B$30)+COUNTIF(INDIRECT($A$40&amp;"!$H:$H"),B$30&amp;$A43)</f>
        <v>0</v>
      </c>
      <c r="C43" s="27">
        <f t="shared" ca="1" si="11"/>
        <v>0</v>
      </c>
      <c r="D43" s="33"/>
      <c r="E43" s="27">
        <f t="shared" ca="1" si="10"/>
        <v>0</v>
      </c>
      <c r="F43" s="27">
        <f t="shared" ca="1" si="10"/>
        <v>0</v>
      </c>
      <c r="G43" s="27">
        <f t="shared" ca="1" si="10"/>
        <v>0</v>
      </c>
      <c r="H43" s="27">
        <f t="shared" ca="1" si="10"/>
        <v>0</v>
      </c>
    </row>
    <row r="44" spans="1:8" outlineLevel="1" x14ac:dyDescent="0.2">
      <c r="A44" s="30" t="s">
        <v>46</v>
      </c>
      <c r="B44" s="27">
        <f t="shared" ca="1" si="11"/>
        <v>0</v>
      </c>
      <c r="C44" s="27">
        <f t="shared" ca="1" si="11"/>
        <v>0</v>
      </c>
      <c r="D44" s="27">
        <f t="shared" ca="1" si="11"/>
        <v>0</v>
      </c>
      <c r="E44" s="33"/>
      <c r="F44" s="27">
        <f t="shared" ca="1" si="10"/>
        <v>0</v>
      </c>
      <c r="G44" s="27">
        <f t="shared" ca="1" si="10"/>
        <v>0</v>
      </c>
      <c r="H44" s="27">
        <f t="shared" ca="1" si="10"/>
        <v>0</v>
      </c>
    </row>
    <row r="45" spans="1:8" outlineLevel="1" x14ac:dyDescent="0.2">
      <c r="A45" s="31" t="s">
        <v>47</v>
      </c>
      <c r="B45" s="27">
        <f t="shared" ca="1" si="11"/>
        <v>0</v>
      </c>
      <c r="C45" s="27">
        <f t="shared" ca="1" si="11"/>
        <v>0</v>
      </c>
      <c r="D45" s="27">
        <f t="shared" ca="1" si="11"/>
        <v>0</v>
      </c>
      <c r="E45" s="27">
        <f t="shared" ca="1" si="11"/>
        <v>0</v>
      </c>
      <c r="F45" s="33"/>
      <c r="G45" s="27">
        <f t="shared" ca="1" si="10"/>
        <v>0</v>
      </c>
      <c r="H45" s="27">
        <f t="shared" ca="1" si="10"/>
        <v>0</v>
      </c>
    </row>
    <row r="46" spans="1:8" outlineLevel="1" x14ac:dyDescent="0.2">
      <c r="A46" s="30" t="s">
        <v>48</v>
      </c>
      <c r="B46" s="27">
        <f t="shared" ca="1" si="11"/>
        <v>0</v>
      </c>
      <c r="C46" s="27">
        <f t="shared" ca="1" si="11"/>
        <v>0</v>
      </c>
      <c r="D46" s="27">
        <f t="shared" ca="1" si="11"/>
        <v>0</v>
      </c>
      <c r="E46" s="27">
        <f t="shared" ca="1" si="11"/>
        <v>0</v>
      </c>
      <c r="F46" s="27">
        <f t="shared" ca="1" si="11"/>
        <v>0</v>
      </c>
      <c r="G46" s="33"/>
      <c r="H46" s="27">
        <f t="shared" ca="1" si="10"/>
        <v>0</v>
      </c>
    </row>
    <row r="47" spans="1:8" outlineLevel="1" x14ac:dyDescent="0.2">
      <c r="A47" s="30" t="s">
        <v>49</v>
      </c>
      <c r="B47" s="27">
        <f t="shared" ca="1" si="11"/>
        <v>0</v>
      </c>
      <c r="C47" s="27">
        <f t="shared" ca="1" si="11"/>
        <v>0</v>
      </c>
      <c r="D47" s="27">
        <f t="shared" ca="1" si="11"/>
        <v>0</v>
      </c>
      <c r="E47" s="27">
        <f t="shared" ca="1" si="11"/>
        <v>0</v>
      </c>
      <c r="F47" s="27">
        <f t="shared" ca="1" si="11"/>
        <v>0</v>
      </c>
      <c r="G47" s="27">
        <f ca="1">COUNTIF(INDIRECT($A$40&amp;"!$H:$H"),$A47&amp;G$30)+COUNTIF(INDIRECT($A$40&amp;"!$H:$H"),G$30&amp;$A47)</f>
        <v>0</v>
      </c>
      <c r="H47" s="33"/>
    </row>
    <row r="48" spans="1:8" outlineLevel="1" x14ac:dyDescent="0.2"/>
    <row r="49" spans="1:8" outlineLevel="1" x14ac:dyDescent="0.2"/>
    <row r="50" spans="1:8" outlineLevel="1" x14ac:dyDescent="0.2">
      <c r="A50" s="34" t="s">
        <v>52</v>
      </c>
      <c r="B50" s="32" t="s">
        <v>50</v>
      </c>
      <c r="C50" s="32" t="s">
        <v>43</v>
      </c>
      <c r="D50" s="32" t="s">
        <v>51</v>
      </c>
      <c r="E50" s="32" t="s">
        <v>46</v>
      </c>
      <c r="F50" s="32" t="s">
        <v>47</v>
      </c>
      <c r="G50" s="32" t="s">
        <v>48</v>
      </c>
      <c r="H50" s="32" t="s">
        <v>49</v>
      </c>
    </row>
    <row r="51" spans="1:8" outlineLevel="1" x14ac:dyDescent="0.2">
      <c r="A51" s="30" t="s">
        <v>41</v>
      </c>
      <c r="B51" s="33"/>
      <c r="C51" s="27">
        <f ca="1">COUNTIF(INDIRECT($A$50&amp;"!$H:$H"),$A51&amp;C$30)+COUNTIF(INDIRECT($A$50&amp;"!$H:$H"),C$30&amp;$A51)</f>
        <v>0</v>
      </c>
      <c r="D51" s="27">
        <f t="shared" ref="D51:H56" ca="1" si="12">COUNTIF(INDIRECT($A$50&amp;"!$H:$H"),$A51&amp;D$30)+COUNTIF(INDIRECT($A$50&amp;"!$H:$H"),D$30&amp;$A51)</f>
        <v>0</v>
      </c>
      <c r="E51" s="27">
        <f t="shared" ca="1" si="12"/>
        <v>0</v>
      </c>
      <c r="F51" s="27">
        <f t="shared" ca="1" si="12"/>
        <v>0</v>
      </c>
      <c r="G51" s="27">
        <f t="shared" ca="1" si="12"/>
        <v>0</v>
      </c>
      <c r="H51" s="27">
        <f t="shared" ca="1" si="12"/>
        <v>0</v>
      </c>
    </row>
    <row r="52" spans="1:8" outlineLevel="1" x14ac:dyDescent="0.2">
      <c r="A52" s="31" t="s">
        <v>43</v>
      </c>
      <c r="B52" s="27">
        <f ca="1">COUNTIF(INDIRECT($A$50&amp;"!$H:$H"),$A52&amp;B$30)+COUNTIF(INDIRECT($A$50&amp;"!$H:$H"),B$30&amp;$A52)</f>
        <v>0</v>
      </c>
      <c r="C52" s="33"/>
      <c r="D52" s="27">
        <f t="shared" ca="1" si="12"/>
        <v>0</v>
      </c>
      <c r="E52" s="27">
        <f t="shared" ca="1" si="12"/>
        <v>0</v>
      </c>
      <c r="F52" s="27">
        <f t="shared" ca="1" si="12"/>
        <v>0</v>
      </c>
      <c r="G52" s="27">
        <f t="shared" ca="1" si="12"/>
        <v>0</v>
      </c>
      <c r="H52" s="27">
        <f t="shared" ca="1" si="12"/>
        <v>0</v>
      </c>
    </row>
    <row r="53" spans="1:8" outlineLevel="1" x14ac:dyDescent="0.2">
      <c r="A53" s="32" t="s">
        <v>45</v>
      </c>
      <c r="B53" s="27">
        <f t="shared" ref="B53:F57" ca="1" si="13">COUNTIF(INDIRECT($A$50&amp;"!$H:$H"),$A53&amp;B$30)+COUNTIF(INDIRECT($A$50&amp;"!$H:$H"),B$30&amp;$A53)</f>
        <v>0</v>
      </c>
      <c r="C53" s="27">
        <f t="shared" ca="1" si="13"/>
        <v>0</v>
      </c>
      <c r="D53" s="33"/>
      <c r="E53" s="27">
        <f t="shared" ca="1" si="12"/>
        <v>0</v>
      </c>
      <c r="F53" s="27">
        <f t="shared" ca="1" si="12"/>
        <v>0</v>
      </c>
      <c r="G53" s="27">
        <f t="shared" ca="1" si="12"/>
        <v>0</v>
      </c>
      <c r="H53" s="27">
        <f t="shared" ca="1" si="12"/>
        <v>0</v>
      </c>
    </row>
    <row r="54" spans="1:8" outlineLevel="1" x14ac:dyDescent="0.2">
      <c r="A54" s="30" t="s">
        <v>46</v>
      </c>
      <c r="B54" s="27">
        <f t="shared" ca="1" si="13"/>
        <v>0</v>
      </c>
      <c r="C54" s="27">
        <f t="shared" ca="1" si="13"/>
        <v>0</v>
      </c>
      <c r="D54" s="27">
        <f t="shared" ca="1" si="13"/>
        <v>0</v>
      </c>
      <c r="E54" s="33"/>
      <c r="F54" s="27">
        <f t="shared" ca="1" si="12"/>
        <v>0</v>
      </c>
      <c r="G54" s="27">
        <f t="shared" ca="1" si="12"/>
        <v>0</v>
      </c>
      <c r="H54" s="27">
        <f t="shared" ca="1" si="12"/>
        <v>0</v>
      </c>
    </row>
    <row r="55" spans="1:8" outlineLevel="1" x14ac:dyDescent="0.2">
      <c r="A55" s="31" t="s">
        <v>47</v>
      </c>
      <c r="B55" s="27">
        <f t="shared" ca="1" si="13"/>
        <v>0</v>
      </c>
      <c r="C55" s="27">
        <f t="shared" ca="1" si="13"/>
        <v>0</v>
      </c>
      <c r="D55" s="27">
        <f t="shared" ca="1" si="13"/>
        <v>0</v>
      </c>
      <c r="E55" s="27">
        <f t="shared" ca="1" si="13"/>
        <v>0</v>
      </c>
      <c r="F55" s="33"/>
      <c r="G55" s="27">
        <f t="shared" ca="1" si="12"/>
        <v>0</v>
      </c>
      <c r="H55" s="27">
        <f t="shared" ca="1" si="12"/>
        <v>0</v>
      </c>
    </row>
    <row r="56" spans="1:8" outlineLevel="1" x14ac:dyDescent="0.2">
      <c r="A56" s="30" t="s">
        <v>48</v>
      </c>
      <c r="B56" s="27">
        <f t="shared" ca="1" si="13"/>
        <v>0</v>
      </c>
      <c r="C56" s="27">
        <f t="shared" ca="1" si="13"/>
        <v>0</v>
      </c>
      <c r="D56" s="27">
        <f t="shared" ca="1" si="13"/>
        <v>0</v>
      </c>
      <c r="E56" s="27">
        <f t="shared" ca="1" si="13"/>
        <v>0</v>
      </c>
      <c r="F56" s="27">
        <f t="shared" ca="1" si="13"/>
        <v>0</v>
      </c>
      <c r="G56" s="33"/>
      <c r="H56" s="27">
        <f t="shared" ca="1" si="12"/>
        <v>0</v>
      </c>
    </row>
    <row r="57" spans="1:8" outlineLevel="1" x14ac:dyDescent="0.2">
      <c r="A57" s="30" t="s">
        <v>49</v>
      </c>
      <c r="B57" s="27">
        <f t="shared" ca="1" si="13"/>
        <v>0</v>
      </c>
      <c r="C57" s="27">
        <f t="shared" ca="1" si="13"/>
        <v>0</v>
      </c>
      <c r="D57" s="27">
        <f t="shared" ca="1" si="13"/>
        <v>0</v>
      </c>
      <c r="E57" s="27">
        <f t="shared" ca="1" si="13"/>
        <v>0</v>
      </c>
      <c r="F57" s="27">
        <f t="shared" ca="1" si="13"/>
        <v>0</v>
      </c>
      <c r="G57" s="27">
        <f ca="1">COUNTIF(INDIRECT($A$50&amp;"!$H:$H"),$A57&amp;G$30)+COUNTIF(INDIRECT($A$50&amp;"!$H:$H"),G$30&amp;$A57)</f>
        <v>0</v>
      </c>
      <c r="H57" s="33"/>
    </row>
    <row r="58" spans="1:8" outlineLevel="1" x14ac:dyDescent="0.2"/>
    <row r="59" spans="1:8" outlineLevel="1" x14ac:dyDescent="0.2"/>
    <row r="60" spans="1:8" outlineLevel="1" x14ac:dyDescent="0.2">
      <c r="A60" s="36" t="s">
        <v>101</v>
      </c>
      <c r="B60" s="32" t="s">
        <v>50</v>
      </c>
      <c r="C60" s="32" t="s">
        <v>43</v>
      </c>
      <c r="D60" s="32" t="s">
        <v>51</v>
      </c>
      <c r="E60" s="32" t="s">
        <v>46</v>
      </c>
      <c r="F60" s="32" t="s">
        <v>47</v>
      </c>
      <c r="G60" s="32" t="s">
        <v>48</v>
      </c>
      <c r="H60" s="32" t="s">
        <v>49</v>
      </c>
    </row>
    <row r="61" spans="1:8" outlineLevel="1" x14ac:dyDescent="0.2">
      <c r="A61" s="30" t="s">
        <v>41</v>
      </c>
      <c r="B61" s="33"/>
      <c r="C61" s="27">
        <f ca="1">COUNTIF(INDIRECT($A$60&amp;"!$H:$H"),$A61&amp;C$30)+COUNTIF(INDIRECT($A$60&amp;"!$H:$H"),C$30&amp;$A61)</f>
        <v>0</v>
      </c>
      <c r="D61" s="27">
        <f t="shared" ref="D61:H66" ca="1" si="14">COUNTIF(INDIRECT($A$60&amp;"!$H:$H"),$A61&amp;D$30)+COUNTIF(INDIRECT($A$60&amp;"!$H:$H"),D$30&amp;$A61)</f>
        <v>0</v>
      </c>
      <c r="E61" s="27">
        <f t="shared" ca="1" si="14"/>
        <v>0</v>
      </c>
      <c r="F61" s="27">
        <f t="shared" ca="1" si="14"/>
        <v>0</v>
      </c>
      <c r="G61" s="27">
        <f t="shared" ca="1" si="14"/>
        <v>0</v>
      </c>
      <c r="H61" s="27">
        <f t="shared" ca="1" si="14"/>
        <v>0</v>
      </c>
    </row>
    <row r="62" spans="1:8" outlineLevel="1" x14ac:dyDescent="0.2">
      <c r="A62" s="31" t="s">
        <v>43</v>
      </c>
      <c r="B62" s="27">
        <f ca="1">COUNTIF(INDIRECT($A$60&amp;"!$H:$H"),$A62&amp;B$30)+COUNTIF(INDIRECT($A$60&amp;"!$H:$H"),B$30&amp;$A62)</f>
        <v>0</v>
      </c>
      <c r="C62" s="33"/>
      <c r="D62" s="27">
        <f t="shared" ca="1" si="14"/>
        <v>0</v>
      </c>
      <c r="E62" s="27">
        <f t="shared" ca="1" si="14"/>
        <v>0</v>
      </c>
      <c r="F62" s="27">
        <f t="shared" ca="1" si="14"/>
        <v>0</v>
      </c>
      <c r="G62" s="27">
        <f t="shared" ca="1" si="14"/>
        <v>0</v>
      </c>
      <c r="H62" s="27">
        <f t="shared" ca="1" si="14"/>
        <v>0</v>
      </c>
    </row>
    <row r="63" spans="1:8" outlineLevel="1" x14ac:dyDescent="0.2">
      <c r="A63" s="32" t="s">
        <v>45</v>
      </c>
      <c r="B63" s="27">
        <f t="shared" ref="B63:F67" ca="1" si="15">COUNTIF(INDIRECT($A$60&amp;"!$H:$H"),$A63&amp;B$30)+COUNTIF(INDIRECT($A$60&amp;"!$H:$H"),B$30&amp;$A63)</f>
        <v>0</v>
      </c>
      <c r="C63" s="27">
        <f t="shared" ca="1" si="15"/>
        <v>0</v>
      </c>
      <c r="D63" s="33"/>
      <c r="E63" s="27">
        <f t="shared" ca="1" si="14"/>
        <v>0</v>
      </c>
      <c r="F63" s="27">
        <f t="shared" ca="1" si="14"/>
        <v>0</v>
      </c>
      <c r="G63" s="27">
        <f t="shared" ca="1" si="14"/>
        <v>0</v>
      </c>
      <c r="H63" s="27">
        <f t="shared" ca="1" si="14"/>
        <v>0</v>
      </c>
    </row>
    <row r="64" spans="1:8" outlineLevel="1" x14ac:dyDescent="0.2">
      <c r="A64" s="30" t="s">
        <v>46</v>
      </c>
      <c r="B64" s="27">
        <f t="shared" ca="1" si="15"/>
        <v>0</v>
      </c>
      <c r="C64" s="27">
        <f t="shared" ca="1" si="15"/>
        <v>0</v>
      </c>
      <c r="D64" s="27">
        <f t="shared" ca="1" si="15"/>
        <v>0</v>
      </c>
      <c r="E64" s="33"/>
      <c r="F64" s="27">
        <f t="shared" ca="1" si="14"/>
        <v>0</v>
      </c>
      <c r="G64" s="27">
        <f t="shared" ca="1" si="14"/>
        <v>0</v>
      </c>
      <c r="H64" s="27">
        <f t="shared" ca="1" si="14"/>
        <v>0</v>
      </c>
    </row>
    <row r="65" spans="1:15" outlineLevel="1" x14ac:dyDescent="0.2">
      <c r="A65" s="31" t="s">
        <v>47</v>
      </c>
      <c r="B65" s="27">
        <f t="shared" ca="1" si="15"/>
        <v>0</v>
      </c>
      <c r="C65" s="27">
        <f t="shared" ca="1" si="15"/>
        <v>0</v>
      </c>
      <c r="D65" s="27">
        <f t="shared" ca="1" si="15"/>
        <v>0</v>
      </c>
      <c r="E65" s="27">
        <f t="shared" ca="1" si="15"/>
        <v>0</v>
      </c>
      <c r="F65" s="33"/>
      <c r="G65" s="27">
        <f t="shared" ca="1" si="14"/>
        <v>0</v>
      </c>
      <c r="H65" s="27">
        <f t="shared" ca="1" si="14"/>
        <v>0</v>
      </c>
    </row>
    <row r="66" spans="1:15" outlineLevel="1" x14ac:dyDescent="0.2">
      <c r="A66" s="30" t="s">
        <v>48</v>
      </c>
      <c r="B66" s="27">
        <f t="shared" ca="1" si="15"/>
        <v>0</v>
      </c>
      <c r="C66" s="27">
        <f t="shared" ca="1" si="15"/>
        <v>0</v>
      </c>
      <c r="D66" s="27">
        <f t="shared" ca="1" si="15"/>
        <v>0</v>
      </c>
      <c r="E66" s="27">
        <f t="shared" ca="1" si="15"/>
        <v>0</v>
      </c>
      <c r="F66" s="27">
        <f t="shared" ca="1" si="15"/>
        <v>0</v>
      </c>
      <c r="G66" s="33"/>
      <c r="H66" s="27">
        <f t="shared" ca="1" si="14"/>
        <v>0</v>
      </c>
    </row>
    <row r="67" spans="1:15" outlineLevel="1" x14ac:dyDescent="0.2">
      <c r="A67" s="30" t="s">
        <v>49</v>
      </c>
      <c r="B67" s="27">
        <f t="shared" ca="1" si="15"/>
        <v>0</v>
      </c>
      <c r="C67" s="27">
        <f t="shared" ca="1" si="15"/>
        <v>0</v>
      </c>
      <c r="D67" s="27">
        <f t="shared" ca="1" si="15"/>
        <v>0</v>
      </c>
      <c r="E67" s="27">
        <f t="shared" ca="1" si="15"/>
        <v>0</v>
      </c>
      <c r="F67" s="27">
        <f t="shared" ca="1" si="15"/>
        <v>0</v>
      </c>
      <c r="G67" s="27">
        <f ca="1">COUNTIF(INDIRECT($A$60&amp;"!$H:$H"),$A67&amp;G$30)+COUNTIF(INDIRECT($A$60&amp;"!$H:$H"),G$30&amp;$A67)</f>
        <v>0</v>
      </c>
      <c r="H67" s="33"/>
    </row>
    <row r="69" spans="1:15" outlineLevel="1" x14ac:dyDescent="0.2">
      <c r="A69" s="36" t="s">
        <v>119</v>
      </c>
      <c r="B69" s="58" t="s">
        <v>41</v>
      </c>
      <c r="C69" s="57" t="s">
        <v>43</v>
      </c>
      <c r="D69" s="33" t="s">
        <v>45</v>
      </c>
      <c r="E69" s="58" t="s">
        <v>46</v>
      </c>
      <c r="F69" s="57" t="s">
        <v>47</v>
      </c>
      <c r="G69" s="58" t="s">
        <v>48</v>
      </c>
      <c r="H69" s="58" t="s">
        <v>49</v>
      </c>
      <c r="I69" s="57" t="s">
        <v>159</v>
      </c>
      <c r="J69" s="57" t="s">
        <v>160</v>
      </c>
      <c r="K69" s="33" t="s">
        <v>161</v>
      </c>
      <c r="L69" s="57" t="s">
        <v>162</v>
      </c>
      <c r="M69" s="57" t="s">
        <v>163</v>
      </c>
      <c r="N69" s="33" t="s">
        <v>164</v>
      </c>
      <c r="O69" s="33" t="s">
        <v>165</v>
      </c>
    </row>
    <row r="70" spans="1:15" outlineLevel="1" x14ac:dyDescent="0.2">
      <c r="A70" s="58" t="s">
        <v>41</v>
      </c>
      <c r="B70" s="33"/>
      <c r="C70" s="27">
        <f t="shared" ref="B70:O83" ca="1" si="16">COUNTIF(INDIRECT($A$69&amp;"!$H:$H"),$A70&amp;C$69)+COUNTIF(INDIRECT($A$69&amp;"!$H:$H"),C$69&amp;$A70)</f>
        <v>0</v>
      </c>
      <c r="D70" s="27">
        <f t="shared" ca="1" si="16"/>
        <v>0</v>
      </c>
      <c r="E70" s="33"/>
      <c r="F70" s="27">
        <f t="shared" ca="1" si="16"/>
        <v>0</v>
      </c>
      <c r="G70" s="27">
        <f t="shared" ca="1" si="16"/>
        <v>0</v>
      </c>
      <c r="H70" s="27">
        <f t="shared" ca="1" si="16"/>
        <v>0</v>
      </c>
      <c r="I70" s="33"/>
      <c r="J70" s="27">
        <f t="shared" ca="1" si="16"/>
        <v>0</v>
      </c>
      <c r="K70" s="27">
        <f t="shared" ca="1" si="16"/>
        <v>0</v>
      </c>
      <c r="L70" s="33"/>
      <c r="M70" s="27">
        <f t="shared" ca="1" si="16"/>
        <v>0</v>
      </c>
      <c r="N70" s="27">
        <f t="shared" ca="1" si="16"/>
        <v>0</v>
      </c>
      <c r="O70" s="27">
        <f t="shared" ca="1" si="16"/>
        <v>0</v>
      </c>
    </row>
    <row r="71" spans="1:15" outlineLevel="1" x14ac:dyDescent="0.2">
      <c r="A71" s="57" t="s">
        <v>43</v>
      </c>
      <c r="B71" s="27">
        <f ca="1">COUNTIF(INDIRECT($A$69&amp;"!$H:$H"),$A71&amp;B$69)+COUNTIF(INDIRECT($A$69&amp;"!$H:$H"),B$69&amp;$A71)</f>
        <v>0</v>
      </c>
      <c r="C71" s="33"/>
      <c r="D71" s="27">
        <f t="shared" ca="1" si="16"/>
        <v>0</v>
      </c>
      <c r="E71" s="33"/>
      <c r="F71" s="27">
        <f t="shared" ca="1" si="16"/>
        <v>0</v>
      </c>
      <c r="G71" s="27">
        <f t="shared" ca="1" si="16"/>
        <v>0</v>
      </c>
      <c r="H71" s="27">
        <f t="shared" ca="1" si="16"/>
        <v>1</v>
      </c>
      <c r="I71" s="27">
        <f ca="1">COUNTIF(INDIRECT($A$69&amp;"!$H:$H"),$A71&amp;I$69)+COUNTIF(INDIRECT($A$69&amp;"!$H:$H"),I$69&amp;$A71)</f>
        <v>0</v>
      </c>
      <c r="J71" s="33"/>
      <c r="K71" s="27">
        <f t="shared" ca="1" si="16"/>
        <v>0</v>
      </c>
      <c r="L71" s="33"/>
      <c r="M71" s="27">
        <f t="shared" ca="1" si="16"/>
        <v>0</v>
      </c>
      <c r="N71" s="27">
        <f t="shared" ca="1" si="16"/>
        <v>1</v>
      </c>
      <c r="O71" s="27">
        <f t="shared" ca="1" si="16"/>
        <v>1</v>
      </c>
    </row>
    <row r="72" spans="1:15" outlineLevel="1" x14ac:dyDescent="0.2">
      <c r="A72" s="33" t="s">
        <v>45</v>
      </c>
      <c r="B72" s="27">
        <f t="shared" ref="B72:I83" ca="1" si="17">COUNTIF(INDIRECT($A$69&amp;"!$H:$H"),$A72&amp;B$69)+COUNTIF(INDIRECT($A$69&amp;"!$H:$H"),B$69&amp;$A72)</f>
        <v>0</v>
      </c>
      <c r="C72" s="27">
        <f t="shared" ca="1" si="16"/>
        <v>0</v>
      </c>
      <c r="D72" s="33"/>
      <c r="E72" s="33"/>
      <c r="F72" s="27">
        <f t="shared" ca="1" si="16"/>
        <v>1</v>
      </c>
      <c r="G72" s="27">
        <f t="shared" ca="1" si="16"/>
        <v>1</v>
      </c>
      <c r="H72" s="27">
        <f t="shared" ca="1" si="16"/>
        <v>0</v>
      </c>
      <c r="I72" s="27">
        <f t="shared" ca="1" si="17"/>
        <v>1</v>
      </c>
      <c r="J72" s="27">
        <f t="shared" ca="1" si="16"/>
        <v>1</v>
      </c>
      <c r="K72" s="33"/>
      <c r="L72" s="33"/>
      <c r="M72" s="27">
        <f t="shared" ca="1" si="16"/>
        <v>0</v>
      </c>
      <c r="N72" s="27">
        <f t="shared" ca="1" si="16"/>
        <v>1</v>
      </c>
      <c r="O72" s="27">
        <f t="shared" ca="1" si="16"/>
        <v>1</v>
      </c>
    </row>
    <row r="73" spans="1:15" outlineLevel="1" x14ac:dyDescent="0.2">
      <c r="A73" s="58" t="s">
        <v>46</v>
      </c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</row>
    <row r="74" spans="1:15" outlineLevel="1" x14ac:dyDescent="0.2">
      <c r="A74" s="57" t="s">
        <v>47</v>
      </c>
      <c r="B74" s="27">
        <f t="shared" ca="1" si="17"/>
        <v>0</v>
      </c>
      <c r="C74" s="27">
        <f t="shared" ca="1" si="16"/>
        <v>0</v>
      </c>
      <c r="D74" s="27">
        <f t="shared" ca="1" si="16"/>
        <v>1</v>
      </c>
      <c r="E74" s="33"/>
      <c r="F74" s="33"/>
      <c r="G74" s="27">
        <f t="shared" ca="1" si="16"/>
        <v>0</v>
      </c>
      <c r="H74" s="27">
        <f t="shared" ca="1" si="16"/>
        <v>1</v>
      </c>
      <c r="I74" s="27">
        <f t="shared" ca="1" si="17"/>
        <v>1</v>
      </c>
      <c r="J74" s="27">
        <f t="shared" ca="1" si="16"/>
        <v>0</v>
      </c>
      <c r="K74" s="27">
        <f t="shared" ca="1" si="16"/>
        <v>0</v>
      </c>
      <c r="L74" s="33"/>
      <c r="M74" s="33"/>
      <c r="N74" s="27">
        <f t="shared" ca="1" si="16"/>
        <v>0</v>
      </c>
      <c r="O74" s="27">
        <f t="shared" ca="1" si="16"/>
        <v>0</v>
      </c>
    </row>
    <row r="75" spans="1:15" outlineLevel="1" x14ac:dyDescent="0.2">
      <c r="A75" s="58" t="s">
        <v>48</v>
      </c>
      <c r="B75" s="27">
        <f t="shared" ca="1" si="17"/>
        <v>0</v>
      </c>
      <c r="C75" s="27">
        <f t="shared" ca="1" si="16"/>
        <v>0</v>
      </c>
      <c r="D75" s="27">
        <f t="shared" ca="1" si="16"/>
        <v>1</v>
      </c>
      <c r="E75" s="33"/>
      <c r="F75" s="27">
        <f t="shared" ca="1" si="16"/>
        <v>0</v>
      </c>
      <c r="G75" s="33"/>
      <c r="H75" s="27">
        <f t="shared" ca="1" si="16"/>
        <v>0</v>
      </c>
      <c r="I75" s="27">
        <f t="shared" ca="1" si="17"/>
        <v>0</v>
      </c>
      <c r="J75" s="27">
        <f t="shared" ca="1" si="16"/>
        <v>0</v>
      </c>
      <c r="K75" s="27">
        <f t="shared" ca="1" si="16"/>
        <v>0</v>
      </c>
      <c r="L75" s="33"/>
      <c r="M75" s="27">
        <f t="shared" ca="1" si="16"/>
        <v>0</v>
      </c>
      <c r="N75" s="33"/>
      <c r="O75" s="27">
        <f t="shared" ca="1" si="16"/>
        <v>0</v>
      </c>
    </row>
    <row r="76" spans="1:15" x14ac:dyDescent="0.2">
      <c r="A76" s="58" t="s">
        <v>49</v>
      </c>
      <c r="B76" s="27">
        <f t="shared" ca="1" si="17"/>
        <v>0</v>
      </c>
      <c r="C76" s="27">
        <f t="shared" ca="1" si="16"/>
        <v>1</v>
      </c>
      <c r="D76" s="27">
        <f t="shared" ca="1" si="16"/>
        <v>0</v>
      </c>
      <c r="E76" s="33"/>
      <c r="F76" s="27">
        <f t="shared" ca="1" si="16"/>
        <v>1</v>
      </c>
      <c r="G76" s="27">
        <f t="shared" ca="1" si="16"/>
        <v>0</v>
      </c>
      <c r="H76" s="33"/>
      <c r="I76" s="27">
        <f t="shared" ca="1" si="17"/>
        <v>1</v>
      </c>
      <c r="J76" s="27">
        <f t="shared" ca="1" si="16"/>
        <v>1</v>
      </c>
      <c r="K76" s="27">
        <f t="shared" ca="1" si="16"/>
        <v>1</v>
      </c>
      <c r="L76" s="33"/>
      <c r="M76" s="27">
        <f t="shared" ca="1" si="16"/>
        <v>1</v>
      </c>
      <c r="N76" s="27">
        <f t="shared" ca="1" si="16"/>
        <v>1</v>
      </c>
      <c r="O76" s="33"/>
    </row>
    <row r="77" spans="1:15" x14ac:dyDescent="0.2">
      <c r="A77" s="57" t="s">
        <v>159</v>
      </c>
      <c r="B77" s="33"/>
      <c r="C77" s="27">
        <f t="shared" ca="1" si="16"/>
        <v>0</v>
      </c>
      <c r="D77" s="27">
        <f t="shared" ca="1" si="16"/>
        <v>1</v>
      </c>
      <c r="E77" s="33"/>
      <c r="F77" s="27">
        <f t="shared" ca="1" si="16"/>
        <v>1</v>
      </c>
      <c r="G77" s="27">
        <f t="shared" ca="1" si="16"/>
        <v>0</v>
      </c>
      <c r="H77" s="27">
        <f t="shared" ca="1" si="16"/>
        <v>1</v>
      </c>
      <c r="I77" s="33"/>
      <c r="J77" s="27">
        <f t="shared" ca="1" si="16"/>
        <v>0</v>
      </c>
      <c r="K77" s="27">
        <f t="shared" ca="1" si="16"/>
        <v>0</v>
      </c>
      <c r="L77" s="33"/>
      <c r="M77" s="27">
        <f t="shared" ca="1" si="16"/>
        <v>1</v>
      </c>
      <c r="N77" s="27">
        <f t="shared" ca="1" si="16"/>
        <v>0</v>
      </c>
      <c r="O77" s="27">
        <f t="shared" ca="1" si="16"/>
        <v>0</v>
      </c>
    </row>
    <row r="78" spans="1:15" x14ac:dyDescent="0.2">
      <c r="A78" s="57" t="s">
        <v>160</v>
      </c>
      <c r="B78" s="27">
        <f t="shared" ca="1" si="17"/>
        <v>0</v>
      </c>
      <c r="C78" s="33"/>
      <c r="D78" s="27">
        <f t="shared" ca="1" si="16"/>
        <v>1</v>
      </c>
      <c r="E78" s="33"/>
      <c r="F78" s="27">
        <f t="shared" ca="1" si="16"/>
        <v>0</v>
      </c>
      <c r="G78" s="27">
        <f t="shared" ca="1" si="16"/>
        <v>0</v>
      </c>
      <c r="H78" s="27">
        <f t="shared" ca="1" si="16"/>
        <v>1</v>
      </c>
      <c r="I78" s="27">
        <f t="shared" ca="1" si="17"/>
        <v>0</v>
      </c>
      <c r="J78" s="33"/>
      <c r="K78" s="27">
        <f t="shared" ca="1" si="16"/>
        <v>0</v>
      </c>
      <c r="L78" s="33"/>
      <c r="M78" s="27">
        <f t="shared" ca="1" si="16"/>
        <v>0</v>
      </c>
      <c r="N78" s="27">
        <f t="shared" ca="1" si="16"/>
        <v>1</v>
      </c>
      <c r="O78" s="27">
        <f t="shared" ca="1" si="16"/>
        <v>1</v>
      </c>
    </row>
    <row r="79" spans="1:15" x14ac:dyDescent="0.2">
      <c r="A79" s="33" t="s">
        <v>161</v>
      </c>
      <c r="B79" s="27">
        <f t="shared" ca="1" si="17"/>
        <v>0</v>
      </c>
      <c r="C79" s="27">
        <f t="shared" ca="1" si="16"/>
        <v>0</v>
      </c>
      <c r="D79" s="33"/>
      <c r="E79" s="33"/>
      <c r="F79" s="27">
        <f t="shared" ca="1" si="16"/>
        <v>0</v>
      </c>
      <c r="G79" s="27">
        <f t="shared" ca="1" si="16"/>
        <v>0</v>
      </c>
      <c r="H79" s="27">
        <f t="shared" ca="1" si="16"/>
        <v>1</v>
      </c>
      <c r="I79" s="27">
        <f t="shared" ca="1" si="17"/>
        <v>0</v>
      </c>
      <c r="J79" s="27">
        <f t="shared" ca="1" si="16"/>
        <v>0</v>
      </c>
      <c r="K79" s="33"/>
      <c r="L79" s="33"/>
      <c r="M79" s="27">
        <f t="shared" ca="1" si="16"/>
        <v>0</v>
      </c>
      <c r="N79" s="27">
        <f t="shared" ca="1" si="16"/>
        <v>1</v>
      </c>
      <c r="O79" s="27">
        <f t="shared" ca="1" si="16"/>
        <v>1</v>
      </c>
    </row>
    <row r="80" spans="1:15" x14ac:dyDescent="0.2">
      <c r="A80" s="57" t="s">
        <v>162</v>
      </c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</row>
    <row r="81" spans="1:15" x14ac:dyDescent="0.2">
      <c r="A81" s="57" t="s">
        <v>163</v>
      </c>
      <c r="B81" s="27">
        <f t="shared" ca="1" si="17"/>
        <v>0</v>
      </c>
      <c r="C81" s="27">
        <f t="shared" ca="1" si="16"/>
        <v>0</v>
      </c>
      <c r="D81" s="27">
        <f t="shared" ca="1" si="16"/>
        <v>0</v>
      </c>
      <c r="E81" s="33"/>
      <c r="F81" s="33"/>
      <c r="G81" s="27">
        <f t="shared" ca="1" si="16"/>
        <v>0</v>
      </c>
      <c r="H81" s="27">
        <f t="shared" ca="1" si="16"/>
        <v>1</v>
      </c>
      <c r="I81" s="27">
        <f t="shared" ca="1" si="17"/>
        <v>1</v>
      </c>
      <c r="J81" s="27">
        <f t="shared" ca="1" si="16"/>
        <v>0</v>
      </c>
      <c r="K81" s="27">
        <f t="shared" ca="1" si="16"/>
        <v>0</v>
      </c>
      <c r="L81" s="33"/>
      <c r="M81" s="33"/>
      <c r="N81" s="27">
        <f t="shared" ca="1" si="16"/>
        <v>0</v>
      </c>
      <c r="O81" s="27">
        <f t="shared" ca="1" si="16"/>
        <v>0</v>
      </c>
    </row>
    <row r="82" spans="1:15" x14ac:dyDescent="0.2">
      <c r="A82" s="33" t="s">
        <v>164</v>
      </c>
      <c r="B82" s="27">
        <f t="shared" ca="1" si="17"/>
        <v>0</v>
      </c>
      <c r="C82" s="27">
        <f t="shared" ca="1" si="16"/>
        <v>1</v>
      </c>
      <c r="D82" s="27">
        <f t="shared" ca="1" si="16"/>
        <v>1</v>
      </c>
      <c r="E82" s="33"/>
      <c r="F82" s="27">
        <f t="shared" ca="1" si="16"/>
        <v>0</v>
      </c>
      <c r="G82" s="33"/>
      <c r="H82" s="27">
        <f t="shared" ca="1" si="16"/>
        <v>1</v>
      </c>
      <c r="I82" s="27">
        <f t="shared" ca="1" si="17"/>
        <v>0</v>
      </c>
      <c r="J82" s="27">
        <f t="shared" ca="1" si="16"/>
        <v>1</v>
      </c>
      <c r="K82" s="27">
        <f t="shared" ca="1" si="16"/>
        <v>1</v>
      </c>
      <c r="L82" s="33"/>
      <c r="M82" s="27">
        <f t="shared" ca="1" si="16"/>
        <v>0</v>
      </c>
      <c r="N82" s="33"/>
      <c r="O82" s="27">
        <f t="shared" ca="1" si="16"/>
        <v>1</v>
      </c>
    </row>
    <row r="83" spans="1:15" x14ac:dyDescent="0.2">
      <c r="A83" s="33" t="s">
        <v>165</v>
      </c>
      <c r="B83" s="27">
        <f t="shared" ca="1" si="17"/>
        <v>0</v>
      </c>
      <c r="C83" s="27">
        <f t="shared" ca="1" si="16"/>
        <v>1</v>
      </c>
      <c r="D83" s="27">
        <f t="shared" ca="1" si="16"/>
        <v>1</v>
      </c>
      <c r="E83" s="33"/>
      <c r="F83" s="27">
        <f t="shared" ca="1" si="16"/>
        <v>0</v>
      </c>
      <c r="G83" s="27">
        <f t="shared" ca="1" si="16"/>
        <v>0</v>
      </c>
      <c r="H83" s="33"/>
      <c r="I83" s="27">
        <f t="shared" ca="1" si="17"/>
        <v>0</v>
      </c>
      <c r="J83" s="27">
        <f t="shared" ca="1" si="16"/>
        <v>1</v>
      </c>
      <c r="K83" s="27">
        <f t="shared" ca="1" si="16"/>
        <v>1</v>
      </c>
      <c r="L83" s="33"/>
      <c r="M83" s="27">
        <f t="shared" ca="1" si="16"/>
        <v>0</v>
      </c>
      <c r="N83" s="27">
        <f t="shared" ca="1" si="16"/>
        <v>1</v>
      </c>
      <c r="O83" s="33"/>
    </row>
  </sheetData>
  <phoneticPr fontId="1"/>
  <conditionalFormatting sqref="B21:H27">
    <cfRule type="colorScale" priority="5">
      <colorScale>
        <cfvo type="num" val="0"/>
        <cfvo type="num" val="4"/>
        <color theme="0"/>
        <color rgb="FFFF0000"/>
      </colorScale>
    </cfRule>
  </conditionalFormatting>
  <conditionalFormatting sqref="B70:O83">
    <cfRule type="colorScale" priority="1">
      <colorScale>
        <cfvo type="num" val="0"/>
        <cfvo type="num" val="1"/>
        <color theme="0" tint="-0.249977111117893"/>
        <color theme="8" tint="-0.249977111117893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M22"/>
  <sheetViews>
    <sheetView workbookViewId="0">
      <selection activeCell="K19" sqref="K19"/>
    </sheetView>
  </sheetViews>
  <sheetFormatPr baseColWidth="10" defaultColWidth="8.83203125" defaultRowHeight="15" x14ac:dyDescent="0.2"/>
  <cols>
    <col min="1" max="1" width="7.1640625" bestFit="1" customWidth="1"/>
    <col min="2" max="2" width="13" bestFit="1" customWidth="1"/>
    <col min="3" max="6" width="3.33203125" bestFit="1" customWidth="1"/>
    <col min="7" max="8" width="3.5" bestFit="1" customWidth="1"/>
    <col min="9" max="9" width="4.6640625" customWidth="1"/>
    <col min="10" max="10" width="5.1640625" bestFit="1" customWidth="1"/>
    <col min="11" max="11" width="6.1640625" style="23" customWidth="1"/>
    <col min="12" max="12" width="4.6640625" customWidth="1"/>
    <col min="13" max="13" width="7.1640625" bestFit="1" customWidth="1"/>
  </cols>
  <sheetData>
    <row r="1" spans="1:13" x14ac:dyDescent="0.2">
      <c r="A1" s="17" t="s">
        <v>1</v>
      </c>
      <c r="B1" s="11" t="s">
        <v>0</v>
      </c>
      <c r="C1" s="11" t="s">
        <v>26</v>
      </c>
      <c r="D1" s="12" t="s">
        <v>19</v>
      </c>
      <c r="E1" s="11" t="s">
        <v>20</v>
      </c>
      <c r="F1" s="11" t="s">
        <v>21</v>
      </c>
      <c r="G1" s="11" t="s">
        <v>24</v>
      </c>
      <c r="H1" s="11" t="s">
        <v>22</v>
      </c>
      <c r="I1" s="11" t="s">
        <v>23</v>
      </c>
      <c r="J1" s="13" t="s">
        <v>25</v>
      </c>
      <c r="K1" s="24">
        <v>1</v>
      </c>
      <c r="L1" s="21" t="s">
        <v>59</v>
      </c>
      <c r="M1" s="22"/>
    </row>
    <row r="2" spans="1:13" x14ac:dyDescent="0.2">
      <c r="A2" s="3">
        <v>1</v>
      </c>
      <c r="B2" s="2" t="s">
        <v>137</v>
      </c>
      <c r="C2" s="2">
        <v>12</v>
      </c>
      <c r="D2" s="2">
        <v>9</v>
      </c>
      <c r="E2" s="2">
        <v>1</v>
      </c>
      <c r="F2" s="2">
        <v>2</v>
      </c>
      <c r="G2" s="2">
        <v>26</v>
      </c>
      <c r="H2" s="2">
        <v>9</v>
      </c>
      <c r="I2" s="2">
        <v>17</v>
      </c>
      <c r="J2" s="9">
        <v>28</v>
      </c>
      <c r="K2" s="23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28</v>
      </c>
      <c r="M2" s="22"/>
    </row>
    <row r="3" spans="1:13" x14ac:dyDescent="0.2">
      <c r="A3" s="3">
        <v>2</v>
      </c>
      <c r="B3" s="2" t="s">
        <v>138</v>
      </c>
      <c r="C3" s="2">
        <v>12</v>
      </c>
      <c r="D3" s="2">
        <v>7</v>
      </c>
      <c r="E3" s="2">
        <v>3</v>
      </c>
      <c r="F3" s="2">
        <v>2</v>
      </c>
      <c r="G3" s="2">
        <v>18</v>
      </c>
      <c r="H3" s="2">
        <v>9</v>
      </c>
      <c r="I3" s="2">
        <v>9</v>
      </c>
      <c r="J3" s="2">
        <v>24</v>
      </c>
      <c r="K3" s="23" t="str">
        <f t="shared" si="0"/>
        <v>锁二</v>
      </c>
      <c r="L3" s="22">
        <f t="shared" ref="L3:L8" si="1">((COUNTA(A$2:A$15)-1)*2-C3)*3+J3</f>
        <v>24</v>
      </c>
      <c r="M3" s="22"/>
    </row>
    <row r="4" spans="1:13" x14ac:dyDescent="0.2">
      <c r="A4" s="3">
        <v>3</v>
      </c>
      <c r="B4" s="2" t="s">
        <v>139</v>
      </c>
      <c r="C4" s="2">
        <v>12</v>
      </c>
      <c r="D4" s="2">
        <v>5</v>
      </c>
      <c r="E4" s="2">
        <v>4</v>
      </c>
      <c r="F4" s="2">
        <v>3</v>
      </c>
      <c r="G4" s="2">
        <v>18</v>
      </c>
      <c r="H4" s="2">
        <v>16</v>
      </c>
      <c r="I4" s="2">
        <v>2</v>
      </c>
      <c r="J4" s="2">
        <v>19</v>
      </c>
      <c r="K4" s="23" t="str">
        <f t="shared" si="0"/>
        <v>锁三</v>
      </c>
      <c r="L4" s="22">
        <f t="shared" si="1"/>
        <v>19</v>
      </c>
      <c r="M4" s="22"/>
    </row>
    <row r="5" spans="1:13" x14ac:dyDescent="0.2">
      <c r="A5" s="3">
        <v>4</v>
      </c>
      <c r="B5" s="2" t="s">
        <v>140</v>
      </c>
      <c r="C5" s="2">
        <v>12</v>
      </c>
      <c r="D5" s="2">
        <v>5</v>
      </c>
      <c r="E5" s="2">
        <v>3</v>
      </c>
      <c r="F5" s="2">
        <v>4</v>
      </c>
      <c r="G5" s="2">
        <v>19</v>
      </c>
      <c r="H5" s="2">
        <v>15</v>
      </c>
      <c r="I5" s="2">
        <v>4</v>
      </c>
      <c r="J5" s="2">
        <v>18</v>
      </c>
      <c r="K5" s="23" t="str">
        <f t="shared" si="0"/>
        <v/>
      </c>
      <c r="L5" s="22">
        <f t="shared" si="1"/>
        <v>18</v>
      </c>
      <c r="M5" s="22"/>
    </row>
    <row r="6" spans="1:13" x14ac:dyDescent="0.2">
      <c r="A6" s="3">
        <v>5</v>
      </c>
      <c r="B6" s="2" t="s">
        <v>141</v>
      </c>
      <c r="C6" s="2">
        <v>12</v>
      </c>
      <c r="D6" s="2">
        <v>4</v>
      </c>
      <c r="E6" s="2">
        <v>2</v>
      </c>
      <c r="F6" s="2">
        <v>6</v>
      </c>
      <c r="G6" s="2">
        <v>14</v>
      </c>
      <c r="H6" s="2">
        <v>20</v>
      </c>
      <c r="I6" s="2">
        <v>-6</v>
      </c>
      <c r="J6" s="2">
        <v>14</v>
      </c>
      <c r="K6" s="23" t="str">
        <f t="shared" si="0"/>
        <v/>
      </c>
      <c r="L6" s="22">
        <f t="shared" si="1"/>
        <v>14</v>
      </c>
      <c r="M6" s="22"/>
    </row>
    <row r="7" spans="1:13" x14ac:dyDescent="0.2">
      <c r="A7" s="3">
        <v>6</v>
      </c>
      <c r="B7" s="2" t="s">
        <v>142</v>
      </c>
      <c r="C7" s="2">
        <v>12</v>
      </c>
      <c r="D7" s="2">
        <v>2</v>
      </c>
      <c r="E7" s="2">
        <v>4</v>
      </c>
      <c r="F7" s="2">
        <v>6</v>
      </c>
      <c r="G7" s="2">
        <v>9</v>
      </c>
      <c r="H7" s="2">
        <v>15</v>
      </c>
      <c r="I7" s="2">
        <v>-6</v>
      </c>
      <c r="J7" s="2">
        <v>10</v>
      </c>
      <c r="K7" s="23" t="str">
        <f t="shared" si="0"/>
        <v/>
      </c>
      <c r="L7" s="22">
        <f t="shared" si="1"/>
        <v>10</v>
      </c>
      <c r="M7" s="22"/>
    </row>
    <row r="8" spans="1:13" x14ac:dyDescent="0.2">
      <c r="A8" s="3">
        <v>7</v>
      </c>
      <c r="B8" s="2" t="s">
        <v>143</v>
      </c>
      <c r="C8" s="2">
        <v>12</v>
      </c>
      <c r="D8" s="2">
        <v>0</v>
      </c>
      <c r="E8" s="2">
        <v>3</v>
      </c>
      <c r="F8" s="2">
        <v>9</v>
      </c>
      <c r="G8" s="2">
        <v>2</v>
      </c>
      <c r="H8" s="2">
        <v>22</v>
      </c>
      <c r="I8" s="2">
        <v>-20</v>
      </c>
      <c r="J8" s="10">
        <v>3</v>
      </c>
      <c r="K8" s="23" t="str">
        <f>IF(COUNTIF(L$2:L$15,"&lt;"&amp;$J8)=COUNTA(A$2:A$15)-1,"锁冠",
 IF(COUNTIF(L$2:L$15,"&lt;"&amp;$J8)=COUNTA(A$2:A$15)-2,"锁二",
 IF(COUNTIF(L$2:L$15,"&lt;"&amp;$J8)=COUNTA(A$2:A$15)-3,"锁三",IF(COUNTIF(J$2:J$15,"&gt;"&amp;$L8)&gt;=COUNTA(A$2:A$15)-$K$1,"降决",""))))</f>
        <v>降决</v>
      </c>
      <c r="L8" s="22">
        <f t="shared" si="1"/>
        <v>3</v>
      </c>
      <c r="M8" s="22"/>
    </row>
    <row r="12" spans="1:13" x14ac:dyDescent="0.2">
      <c r="A12" s="8"/>
      <c r="C12" s="8"/>
      <c r="E12" s="8"/>
      <c r="G12" s="8"/>
      <c r="I12" s="8"/>
    </row>
    <row r="20" spans="1:3" x14ac:dyDescent="0.2">
      <c r="A20" s="6" t="s">
        <v>3</v>
      </c>
      <c r="B20">
        <v>0</v>
      </c>
      <c r="C20" s="1" t="s">
        <v>6</v>
      </c>
    </row>
    <row r="21" spans="1:3" x14ac:dyDescent="0.2">
      <c r="A21" s="7" t="s">
        <v>4</v>
      </c>
      <c r="B21">
        <v>7</v>
      </c>
      <c r="C21" t="s">
        <v>7</v>
      </c>
    </row>
    <row r="22" spans="1:3" x14ac:dyDescent="0.2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king">
                <anchor moveWithCells="1" sizeWithCells="1">
                  <from>
                    <xdr:col>13</xdr:col>
                    <xdr:colOff>431800</xdr:colOff>
                    <xdr:row>4</xdr:row>
                    <xdr:rowOff>139700</xdr:rowOff>
                  </from>
                  <to>
                    <xdr:col>15</xdr:col>
                    <xdr:colOff>863600</xdr:colOff>
                    <xdr:row>9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L22"/>
  <sheetViews>
    <sheetView workbookViewId="0">
      <selection activeCell="G21" sqref="G21"/>
    </sheetView>
  </sheetViews>
  <sheetFormatPr baseColWidth="10" defaultColWidth="8.83203125" defaultRowHeight="15" x14ac:dyDescent="0.2"/>
  <cols>
    <col min="1" max="1" width="7.1640625" bestFit="1" customWidth="1"/>
    <col min="2" max="2" width="14.6640625" customWidth="1"/>
    <col min="3" max="3" width="3.5" bestFit="1" customWidth="1"/>
    <col min="4" max="5" width="3.33203125" bestFit="1" customWidth="1"/>
    <col min="6" max="8" width="3.5" bestFit="1" customWidth="1"/>
    <col min="9" max="9" width="4.5" bestFit="1" customWidth="1"/>
    <col min="10" max="10" width="5.1640625" bestFit="1" customWidth="1"/>
    <col min="11" max="11" width="6.1640625" style="23" customWidth="1"/>
    <col min="12" max="12" width="7.1640625" bestFit="1" customWidth="1"/>
  </cols>
  <sheetData>
    <row r="1" spans="1:12" x14ac:dyDescent="0.2">
      <c r="A1" s="14" t="s">
        <v>1</v>
      </c>
      <c r="B1" s="15" t="s">
        <v>0</v>
      </c>
      <c r="C1" s="15" t="s">
        <v>26</v>
      </c>
      <c r="D1" s="16" t="s">
        <v>19</v>
      </c>
      <c r="E1" s="15" t="s">
        <v>20</v>
      </c>
      <c r="F1" s="15" t="s">
        <v>21</v>
      </c>
      <c r="G1" s="15" t="s">
        <v>24</v>
      </c>
      <c r="H1" s="15" t="s">
        <v>22</v>
      </c>
      <c r="I1" s="15" t="s">
        <v>23</v>
      </c>
      <c r="J1" s="15" t="s">
        <v>25</v>
      </c>
      <c r="K1" s="24">
        <v>1</v>
      </c>
      <c r="L1" s="21" t="s">
        <v>59</v>
      </c>
    </row>
    <row r="2" spans="1:12" x14ac:dyDescent="0.2">
      <c r="A2" s="3">
        <v>1</v>
      </c>
      <c r="B2" s="2" t="s">
        <v>144</v>
      </c>
      <c r="C2" s="2">
        <v>12</v>
      </c>
      <c r="D2" s="2">
        <v>7</v>
      </c>
      <c r="E2" s="2">
        <v>5</v>
      </c>
      <c r="F2" s="2">
        <v>0</v>
      </c>
      <c r="G2" s="2">
        <v>19</v>
      </c>
      <c r="H2" s="2">
        <v>8</v>
      </c>
      <c r="I2" s="2">
        <v>11</v>
      </c>
      <c r="J2" s="9">
        <v>26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26</v>
      </c>
    </row>
    <row r="3" spans="1:12" x14ac:dyDescent="0.2">
      <c r="A3" s="3">
        <v>2</v>
      </c>
      <c r="B3" s="2" t="s">
        <v>145</v>
      </c>
      <c r="C3" s="2">
        <v>12</v>
      </c>
      <c r="D3" s="2">
        <v>8</v>
      </c>
      <c r="E3" s="2">
        <v>1</v>
      </c>
      <c r="F3" s="2">
        <v>3</v>
      </c>
      <c r="G3" s="2">
        <v>19</v>
      </c>
      <c r="H3" s="2">
        <v>11</v>
      </c>
      <c r="I3" s="2">
        <v>8</v>
      </c>
      <c r="J3" s="2">
        <v>25</v>
      </c>
      <c r="K3" s="23" t="str">
        <f t="shared" si="0"/>
        <v>锁二</v>
      </c>
      <c r="L3" s="22">
        <f t="shared" ref="L3:L8" si="1">((COUNTA(A$2:A$15)-1)*2-C3)*3+J3</f>
        <v>25</v>
      </c>
    </row>
    <row r="4" spans="1:12" x14ac:dyDescent="0.2">
      <c r="A4" s="3">
        <v>3</v>
      </c>
      <c r="B4" s="2" t="s">
        <v>146</v>
      </c>
      <c r="C4" s="2">
        <v>12</v>
      </c>
      <c r="D4" s="2">
        <v>6</v>
      </c>
      <c r="E4" s="2">
        <v>3</v>
      </c>
      <c r="F4" s="2">
        <v>3</v>
      </c>
      <c r="G4" s="2">
        <v>19</v>
      </c>
      <c r="H4" s="2">
        <v>12</v>
      </c>
      <c r="I4" s="2">
        <v>7</v>
      </c>
      <c r="J4" s="2">
        <v>21</v>
      </c>
      <c r="K4" s="23" t="str">
        <f t="shared" si="0"/>
        <v>锁三</v>
      </c>
      <c r="L4" s="22">
        <f t="shared" si="1"/>
        <v>21</v>
      </c>
    </row>
    <row r="5" spans="1:12" x14ac:dyDescent="0.2">
      <c r="A5" s="3">
        <v>4</v>
      </c>
      <c r="B5" s="2" t="s">
        <v>147</v>
      </c>
      <c r="C5" s="2">
        <v>12</v>
      </c>
      <c r="D5" s="2">
        <v>6</v>
      </c>
      <c r="E5" s="2">
        <v>2</v>
      </c>
      <c r="F5" s="2">
        <v>4</v>
      </c>
      <c r="G5" s="2">
        <v>15</v>
      </c>
      <c r="H5" s="2">
        <v>10</v>
      </c>
      <c r="I5" s="2">
        <v>5</v>
      </c>
      <c r="J5" s="2">
        <v>20</v>
      </c>
      <c r="K5" s="23" t="str">
        <f t="shared" si="0"/>
        <v/>
      </c>
      <c r="L5" s="22">
        <f t="shared" si="1"/>
        <v>20</v>
      </c>
    </row>
    <row r="6" spans="1:12" x14ac:dyDescent="0.2">
      <c r="A6" s="3">
        <v>5</v>
      </c>
      <c r="B6" s="2" t="s">
        <v>148</v>
      </c>
      <c r="C6" s="2">
        <v>12</v>
      </c>
      <c r="D6" s="2">
        <v>4</v>
      </c>
      <c r="E6" s="2">
        <v>1</v>
      </c>
      <c r="F6" s="2">
        <v>7</v>
      </c>
      <c r="G6" s="2">
        <v>12</v>
      </c>
      <c r="H6" s="2">
        <v>16</v>
      </c>
      <c r="I6" s="2">
        <v>-4</v>
      </c>
      <c r="J6" s="2">
        <v>13</v>
      </c>
      <c r="K6" s="23" t="str">
        <f t="shared" si="0"/>
        <v/>
      </c>
      <c r="L6" s="22">
        <f t="shared" si="1"/>
        <v>13</v>
      </c>
    </row>
    <row r="7" spans="1:12" x14ac:dyDescent="0.2">
      <c r="A7" s="3">
        <v>6</v>
      </c>
      <c r="B7" s="2" t="s">
        <v>149</v>
      </c>
      <c r="C7" s="2">
        <v>12</v>
      </c>
      <c r="D7" s="2">
        <v>2</v>
      </c>
      <c r="E7" s="2">
        <v>2</v>
      </c>
      <c r="F7" s="2">
        <v>8</v>
      </c>
      <c r="G7" s="2">
        <v>7</v>
      </c>
      <c r="H7" s="2">
        <v>20</v>
      </c>
      <c r="I7" s="2">
        <v>-13</v>
      </c>
      <c r="J7" s="2">
        <v>8</v>
      </c>
      <c r="K7" s="23" t="str">
        <f>IF(COUNTIF(L$2:L$15,"&lt;"&amp;$J7)=COUNTA(A$2:A$15)-1,"锁冠",
 IF(COUNTIF(L$2:L$15,"&lt;"&amp;$J7)=COUNTA(A$2:A$15)-2,"锁二",
 IF(COUNTIF(L$2:L$15,"&lt;"&amp;$J7)=COUNTA(A$2:A$15)-3,"锁三",IF(COUNTIF(J$2:J$15,"&gt;"&amp;$L7)&gt;=COUNTA(A$2:A$15)-$K$1,"降决",""))))</f>
        <v/>
      </c>
      <c r="L7" s="22">
        <f t="shared" si="1"/>
        <v>8</v>
      </c>
    </row>
    <row r="8" spans="1:12" x14ac:dyDescent="0.2">
      <c r="A8" s="3">
        <v>7</v>
      </c>
      <c r="B8" s="2" t="s">
        <v>150</v>
      </c>
      <c r="C8" s="2">
        <v>12</v>
      </c>
      <c r="D8" s="2">
        <v>1</v>
      </c>
      <c r="E8" s="2">
        <v>2</v>
      </c>
      <c r="F8" s="2">
        <v>9</v>
      </c>
      <c r="G8" s="2">
        <v>6</v>
      </c>
      <c r="H8" s="2">
        <v>20</v>
      </c>
      <c r="I8" s="2">
        <v>-14</v>
      </c>
      <c r="J8" s="10">
        <v>5</v>
      </c>
      <c r="K8" s="23" t="str">
        <f t="shared" si="0"/>
        <v>降决</v>
      </c>
      <c r="L8" s="22">
        <f t="shared" si="1"/>
        <v>5</v>
      </c>
    </row>
    <row r="12" spans="1:12" x14ac:dyDescent="0.2">
      <c r="A12" s="8"/>
      <c r="C12" s="8"/>
      <c r="E12" s="8"/>
      <c r="G12" s="8"/>
      <c r="I12" s="8"/>
    </row>
    <row r="20" spans="1:3" x14ac:dyDescent="0.2">
      <c r="A20" s="6" t="s">
        <v>3</v>
      </c>
      <c r="B20">
        <v>0</v>
      </c>
      <c r="C20" s="1" t="s">
        <v>6</v>
      </c>
    </row>
    <row r="21" spans="1:3" x14ac:dyDescent="0.2">
      <c r="A21" s="7" t="s">
        <v>4</v>
      </c>
      <c r="B21">
        <v>7</v>
      </c>
      <c r="C21" t="s">
        <v>7</v>
      </c>
    </row>
    <row r="22" spans="1:3" x14ac:dyDescent="0.2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anking">
                <anchor moveWithCells="1" sizeWithCells="1">
                  <from>
                    <xdr:col>12</xdr:col>
                    <xdr:colOff>622300</xdr:colOff>
                    <xdr:row>3</xdr:row>
                    <xdr:rowOff>25400</xdr:rowOff>
                  </from>
                  <to>
                    <xdr:col>15</xdr:col>
                    <xdr:colOff>139700</xdr:colOff>
                    <xdr:row>7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L22"/>
  <sheetViews>
    <sheetView workbookViewId="0">
      <selection activeCell="M12" sqref="M12"/>
    </sheetView>
  </sheetViews>
  <sheetFormatPr baseColWidth="10" defaultColWidth="8.83203125" defaultRowHeight="15" x14ac:dyDescent="0.2"/>
  <cols>
    <col min="1" max="1" width="7.1640625" bestFit="1" customWidth="1"/>
    <col min="2" max="2" width="9" bestFit="1" customWidth="1"/>
    <col min="3" max="6" width="3.33203125" bestFit="1" customWidth="1"/>
    <col min="7" max="8" width="3.5" bestFit="1" customWidth="1"/>
    <col min="9" max="9" width="4.5" bestFit="1" customWidth="1"/>
    <col min="10" max="10" width="5.1640625" bestFit="1" customWidth="1"/>
    <col min="11" max="11" width="6.1640625" style="23" customWidth="1"/>
    <col min="12" max="12" width="7.1640625" bestFit="1" customWidth="1"/>
  </cols>
  <sheetData>
    <row r="1" spans="1:12" x14ac:dyDescent="0.2">
      <c r="A1" s="17" t="s">
        <v>1</v>
      </c>
      <c r="B1" s="13" t="s">
        <v>0</v>
      </c>
      <c r="C1" s="19" t="s">
        <v>26</v>
      </c>
      <c r="D1" s="20" t="s">
        <v>19</v>
      </c>
      <c r="E1" s="19" t="s">
        <v>20</v>
      </c>
      <c r="F1" s="19" t="s">
        <v>21</v>
      </c>
      <c r="G1" s="19" t="s">
        <v>24</v>
      </c>
      <c r="H1" s="18" t="s">
        <v>22</v>
      </c>
      <c r="I1" s="18" t="s">
        <v>23</v>
      </c>
      <c r="J1" s="18" t="s">
        <v>25</v>
      </c>
      <c r="K1" s="24">
        <v>1</v>
      </c>
      <c r="L1" s="21" t="s">
        <v>59</v>
      </c>
    </row>
    <row r="2" spans="1:12" x14ac:dyDescent="0.2">
      <c r="A2" s="3">
        <v>1</v>
      </c>
      <c r="B2" s="2" t="s">
        <v>151</v>
      </c>
      <c r="C2" s="2">
        <v>12</v>
      </c>
      <c r="D2" s="2">
        <v>8</v>
      </c>
      <c r="E2" s="2">
        <v>3</v>
      </c>
      <c r="F2" s="2">
        <v>1</v>
      </c>
      <c r="G2" s="2">
        <v>27</v>
      </c>
      <c r="H2" s="2">
        <v>9</v>
      </c>
      <c r="I2" s="2">
        <v>18</v>
      </c>
      <c r="J2" s="9">
        <v>27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27</v>
      </c>
    </row>
    <row r="3" spans="1:12" x14ac:dyDescent="0.2">
      <c r="A3" s="3">
        <v>2</v>
      </c>
      <c r="B3" s="2" t="s">
        <v>152</v>
      </c>
      <c r="C3" s="2">
        <v>12</v>
      </c>
      <c r="D3" s="2">
        <v>6</v>
      </c>
      <c r="E3" s="2">
        <v>3</v>
      </c>
      <c r="F3" s="2">
        <v>3</v>
      </c>
      <c r="G3" s="2">
        <v>15</v>
      </c>
      <c r="H3" s="2">
        <v>10</v>
      </c>
      <c r="I3" s="2">
        <v>5</v>
      </c>
      <c r="J3" s="2">
        <v>21</v>
      </c>
      <c r="K3" s="23" t="str">
        <f t="shared" si="0"/>
        <v>锁二</v>
      </c>
      <c r="L3" s="22">
        <f t="shared" ref="L3:L8" si="1">((COUNTA(A$2:A$15)-1)*2-C3)*3+J3</f>
        <v>21</v>
      </c>
    </row>
    <row r="4" spans="1:12" x14ac:dyDescent="0.2">
      <c r="A4" s="3">
        <v>3</v>
      </c>
      <c r="B4" s="2" t="s">
        <v>153</v>
      </c>
      <c r="C4" s="2">
        <v>12</v>
      </c>
      <c r="D4" s="2">
        <v>5</v>
      </c>
      <c r="E4" s="2">
        <v>4</v>
      </c>
      <c r="F4" s="2">
        <v>3</v>
      </c>
      <c r="G4" s="2">
        <v>16</v>
      </c>
      <c r="H4" s="2">
        <v>11</v>
      </c>
      <c r="I4" s="2">
        <v>5</v>
      </c>
      <c r="J4" s="2">
        <v>19</v>
      </c>
      <c r="K4" s="23" t="str">
        <f t="shared" si="0"/>
        <v>锁三</v>
      </c>
      <c r="L4" s="22">
        <f t="shared" si="1"/>
        <v>19</v>
      </c>
    </row>
    <row r="5" spans="1:12" x14ac:dyDescent="0.2">
      <c r="A5" s="3">
        <v>4</v>
      </c>
      <c r="B5" s="2" t="s">
        <v>154</v>
      </c>
      <c r="C5" s="2">
        <v>12</v>
      </c>
      <c r="D5" s="2">
        <v>4</v>
      </c>
      <c r="E5" s="2">
        <v>4</v>
      </c>
      <c r="F5" s="2">
        <v>4</v>
      </c>
      <c r="G5" s="2">
        <v>15</v>
      </c>
      <c r="H5" s="2">
        <v>13</v>
      </c>
      <c r="I5" s="2">
        <v>2</v>
      </c>
      <c r="J5" s="2">
        <v>16</v>
      </c>
      <c r="K5" s="23" t="str">
        <f t="shared" si="0"/>
        <v/>
      </c>
      <c r="L5" s="22">
        <f t="shared" si="1"/>
        <v>16</v>
      </c>
    </row>
    <row r="6" spans="1:12" x14ac:dyDescent="0.2">
      <c r="A6" s="3">
        <v>5</v>
      </c>
      <c r="B6" s="2" t="s">
        <v>155</v>
      </c>
      <c r="C6" s="2">
        <v>12</v>
      </c>
      <c r="D6" s="2">
        <v>4</v>
      </c>
      <c r="E6" s="2">
        <v>3</v>
      </c>
      <c r="F6" s="2">
        <v>5</v>
      </c>
      <c r="G6" s="2">
        <v>14</v>
      </c>
      <c r="H6" s="2">
        <v>13</v>
      </c>
      <c r="I6" s="2">
        <v>1</v>
      </c>
      <c r="J6" s="2">
        <v>15</v>
      </c>
      <c r="K6" s="23" t="str">
        <f t="shared" si="0"/>
        <v/>
      </c>
      <c r="L6" s="22">
        <f t="shared" si="1"/>
        <v>15</v>
      </c>
    </row>
    <row r="7" spans="1:12" x14ac:dyDescent="0.2">
      <c r="A7" s="3">
        <v>6</v>
      </c>
      <c r="B7" s="2" t="s">
        <v>156</v>
      </c>
      <c r="C7" s="2">
        <v>12</v>
      </c>
      <c r="D7" s="2">
        <v>2</v>
      </c>
      <c r="E7" s="2">
        <v>3</v>
      </c>
      <c r="F7" s="2">
        <v>7</v>
      </c>
      <c r="G7" s="2">
        <v>11</v>
      </c>
      <c r="H7" s="2">
        <v>28</v>
      </c>
      <c r="I7" s="2">
        <v>-17</v>
      </c>
      <c r="J7" s="2">
        <v>9</v>
      </c>
      <c r="K7" s="23" t="str">
        <f t="shared" si="0"/>
        <v/>
      </c>
      <c r="L7" s="22">
        <f t="shared" si="1"/>
        <v>9</v>
      </c>
    </row>
    <row r="8" spans="1:12" x14ac:dyDescent="0.2">
      <c r="A8" s="3">
        <v>7</v>
      </c>
      <c r="B8" s="2" t="s">
        <v>157</v>
      </c>
      <c r="C8" s="2">
        <v>12</v>
      </c>
      <c r="D8" s="2">
        <v>3</v>
      </c>
      <c r="E8" s="2">
        <v>0</v>
      </c>
      <c r="F8" s="2">
        <v>9</v>
      </c>
      <c r="G8" s="2">
        <v>12</v>
      </c>
      <c r="H8" s="2">
        <v>26</v>
      </c>
      <c r="I8" s="2">
        <v>-14</v>
      </c>
      <c r="J8" s="10">
        <v>9</v>
      </c>
      <c r="K8" s="23" t="str">
        <f t="shared" si="0"/>
        <v/>
      </c>
      <c r="L8" s="22">
        <f t="shared" si="1"/>
        <v>9</v>
      </c>
    </row>
    <row r="12" spans="1:12" x14ac:dyDescent="0.2">
      <c r="A12" s="8"/>
      <c r="C12" s="8"/>
      <c r="E12" s="8"/>
      <c r="G12" s="8"/>
      <c r="I12" s="8"/>
    </row>
    <row r="20" spans="1:3" x14ac:dyDescent="0.2">
      <c r="A20" s="6" t="s">
        <v>3</v>
      </c>
      <c r="B20">
        <v>0</v>
      </c>
      <c r="C20" s="1" t="s">
        <v>6</v>
      </c>
    </row>
    <row r="21" spans="1:3" x14ac:dyDescent="0.2">
      <c r="A21" s="7" t="s">
        <v>4</v>
      </c>
      <c r="B21">
        <v>7</v>
      </c>
      <c r="C21" t="s">
        <v>7</v>
      </c>
    </row>
    <row r="22" spans="1:3" x14ac:dyDescent="0.2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anking">
                <anchor moveWithCells="1" sizeWithCells="1">
                  <from>
                    <xdr:col>13</xdr:col>
                    <xdr:colOff>355600</xdr:colOff>
                    <xdr:row>5</xdr:row>
                    <xdr:rowOff>203200</xdr:rowOff>
                  </from>
                  <to>
                    <xdr:col>15</xdr:col>
                    <xdr:colOff>787400</xdr:colOff>
                    <xdr:row>10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/>
  <dimension ref="A1:L22"/>
  <sheetViews>
    <sheetView workbookViewId="0">
      <selection activeCell="I16" sqref="I16"/>
    </sheetView>
  </sheetViews>
  <sheetFormatPr baseColWidth="10" defaultColWidth="8.83203125" defaultRowHeight="15" x14ac:dyDescent="0.2"/>
  <cols>
    <col min="1" max="1" width="7.1640625" bestFit="1" customWidth="1"/>
    <col min="2" max="2" width="9.83203125" customWidth="1"/>
    <col min="3" max="6" width="3.33203125" bestFit="1" customWidth="1"/>
    <col min="7" max="8" width="3.5" bestFit="1" customWidth="1"/>
    <col min="9" max="9" width="4.5" bestFit="1" customWidth="1"/>
    <col min="10" max="10" width="5.1640625" bestFit="1" customWidth="1"/>
    <col min="11" max="11" width="6.1640625" style="23" customWidth="1"/>
    <col min="12" max="12" width="7.1640625" bestFit="1" customWidth="1"/>
  </cols>
  <sheetData>
    <row r="1" spans="1:12" x14ac:dyDescent="0.2">
      <c r="A1" s="45" t="s">
        <v>1</v>
      </c>
      <c r="B1" s="46" t="s">
        <v>109</v>
      </c>
      <c r="C1" s="13" t="s">
        <v>26</v>
      </c>
      <c r="D1" s="44" t="s">
        <v>19</v>
      </c>
      <c r="E1" s="13" t="s">
        <v>20</v>
      </c>
      <c r="F1" s="13" t="s">
        <v>21</v>
      </c>
      <c r="G1" s="13" t="s">
        <v>24</v>
      </c>
      <c r="H1" s="47" t="s">
        <v>110</v>
      </c>
      <c r="I1" s="48" t="s">
        <v>111</v>
      </c>
      <c r="J1" s="48" t="s">
        <v>112</v>
      </c>
      <c r="K1" s="24">
        <v>1</v>
      </c>
      <c r="L1" s="21" t="s">
        <v>59</v>
      </c>
    </row>
    <row r="2" spans="1:12" x14ac:dyDescent="0.2">
      <c r="A2" s="3">
        <v>1</v>
      </c>
      <c r="B2" s="2" t="s">
        <v>130</v>
      </c>
      <c r="C2" s="2">
        <v>12</v>
      </c>
      <c r="D2" s="2">
        <v>8</v>
      </c>
      <c r="E2" s="2">
        <v>1</v>
      </c>
      <c r="F2" s="2">
        <v>3</v>
      </c>
      <c r="G2" s="2">
        <v>25</v>
      </c>
      <c r="H2" s="2">
        <v>9</v>
      </c>
      <c r="I2" s="2">
        <v>16</v>
      </c>
      <c r="J2" s="9">
        <v>25</v>
      </c>
      <c r="K2" s="23" t="str">
        <f t="shared" ref="K2:K8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2">
        <f>((COUNTA(A$2:A$15)-1)*2-C2)*3+J2</f>
        <v>25</v>
      </c>
    </row>
    <row r="3" spans="1:12" x14ac:dyDescent="0.2">
      <c r="A3" s="3">
        <v>2</v>
      </c>
      <c r="B3" s="2" t="s">
        <v>131</v>
      </c>
      <c r="C3" s="2">
        <v>12</v>
      </c>
      <c r="D3" s="2">
        <v>7</v>
      </c>
      <c r="E3" s="2">
        <v>3</v>
      </c>
      <c r="F3" s="2">
        <v>2</v>
      </c>
      <c r="G3" s="2">
        <v>24</v>
      </c>
      <c r="H3" s="2">
        <v>12</v>
      </c>
      <c r="I3" s="2">
        <v>12</v>
      </c>
      <c r="J3" s="2">
        <v>24</v>
      </c>
      <c r="K3" s="23" t="str">
        <f t="shared" si="0"/>
        <v>锁二</v>
      </c>
      <c r="L3" s="22">
        <f t="shared" ref="L3:L8" si="1">((COUNTA(A$2:A$15)-1)*2-C3)*3+J3</f>
        <v>24</v>
      </c>
    </row>
    <row r="4" spans="1:12" x14ac:dyDescent="0.2">
      <c r="A4" s="3">
        <v>3</v>
      </c>
      <c r="B4" s="2" t="s">
        <v>132</v>
      </c>
      <c r="C4" s="2">
        <v>12</v>
      </c>
      <c r="D4" s="2">
        <v>6</v>
      </c>
      <c r="E4" s="2">
        <v>3</v>
      </c>
      <c r="F4" s="2">
        <v>3</v>
      </c>
      <c r="G4" s="2">
        <v>21</v>
      </c>
      <c r="H4" s="2">
        <v>13</v>
      </c>
      <c r="I4" s="2">
        <v>8</v>
      </c>
      <c r="J4" s="2">
        <v>21</v>
      </c>
      <c r="K4" s="23" t="str">
        <f t="shared" si="0"/>
        <v>锁三</v>
      </c>
      <c r="L4" s="22">
        <f t="shared" si="1"/>
        <v>21</v>
      </c>
    </row>
    <row r="5" spans="1:12" x14ac:dyDescent="0.2">
      <c r="A5" s="3">
        <v>4</v>
      </c>
      <c r="B5" s="2" t="s">
        <v>133</v>
      </c>
      <c r="C5" s="2">
        <v>12</v>
      </c>
      <c r="D5" s="2">
        <v>5</v>
      </c>
      <c r="E5" s="2">
        <v>3</v>
      </c>
      <c r="F5" s="2">
        <v>4</v>
      </c>
      <c r="G5" s="2">
        <v>13</v>
      </c>
      <c r="H5" s="2">
        <v>12</v>
      </c>
      <c r="I5" s="2">
        <v>1</v>
      </c>
      <c r="J5" s="2">
        <v>18</v>
      </c>
      <c r="K5" s="23" t="str">
        <f t="shared" si="0"/>
        <v/>
      </c>
      <c r="L5" s="22">
        <f t="shared" si="1"/>
        <v>18</v>
      </c>
    </row>
    <row r="6" spans="1:12" x14ac:dyDescent="0.2">
      <c r="A6" s="3">
        <v>5</v>
      </c>
      <c r="B6" s="2" t="s">
        <v>134</v>
      </c>
      <c r="C6" s="2">
        <v>12</v>
      </c>
      <c r="D6" s="2">
        <v>4</v>
      </c>
      <c r="E6" s="2">
        <v>2</v>
      </c>
      <c r="F6" s="2">
        <v>6</v>
      </c>
      <c r="G6" s="2">
        <v>14</v>
      </c>
      <c r="H6" s="2">
        <v>18</v>
      </c>
      <c r="I6" s="2">
        <v>-4</v>
      </c>
      <c r="J6" s="2">
        <v>14</v>
      </c>
      <c r="K6" s="23" t="str">
        <f t="shared" si="0"/>
        <v/>
      </c>
      <c r="L6" s="22">
        <f t="shared" si="1"/>
        <v>14</v>
      </c>
    </row>
    <row r="7" spans="1:12" x14ac:dyDescent="0.2">
      <c r="A7" s="3">
        <v>6</v>
      </c>
      <c r="B7" s="2" t="s">
        <v>135</v>
      </c>
      <c r="C7" s="2">
        <v>12</v>
      </c>
      <c r="D7" s="2">
        <v>4</v>
      </c>
      <c r="E7" s="2">
        <v>1</v>
      </c>
      <c r="F7" s="2">
        <v>7</v>
      </c>
      <c r="G7" s="2">
        <v>5</v>
      </c>
      <c r="H7" s="2">
        <v>19</v>
      </c>
      <c r="I7" s="2">
        <v>-14</v>
      </c>
      <c r="J7" s="2">
        <v>13</v>
      </c>
      <c r="K7" s="23" t="str">
        <f t="shared" si="0"/>
        <v/>
      </c>
      <c r="L7" s="22">
        <f t="shared" si="1"/>
        <v>13</v>
      </c>
    </row>
    <row r="8" spans="1:12" x14ac:dyDescent="0.2">
      <c r="A8" s="3">
        <v>7</v>
      </c>
      <c r="B8" s="2" t="s">
        <v>136</v>
      </c>
      <c r="C8" s="2">
        <v>12</v>
      </c>
      <c r="D8" s="2">
        <v>1</v>
      </c>
      <c r="E8" s="2">
        <v>1</v>
      </c>
      <c r="F8" s="2">
        <v>10</v>
      </c>
      <c r="G8" s="2">
        <v>9</v>
      </c>
      <c r="H8" s="2">
        <v>28</v>
      </c>
      <c r="I8" s="2">
        <v>-19</v>
      </c>
      <c r="J8" s="10">
        <v>4</v>
      </c>
      <c r="K8" s="23" t="str">
        <f t="shared" si="0"/>
        <v>降决</v>
      </c>
      <c r="L8" s="22">
        <f t="shared" si="1"/>
        <v>4</v>
      </c>
    </row>
    <row r="12" spans="1:12" x14ac:dyDescent="0.2">
      <c r="A12" s="8"/>
      <c r="C12" s="8"/>
      <c r="E12" s="8"/>
      <c r="G12" s="8"/>
      <c r="I12" s="8"/>
    </row>
    <row r="20" spans="1:3" x14ac:dyDescent="0.2">
      <c r="A20" s="6" t="s">
        <v>3</v>
      </c>
      <c r="B20">
        <v>0</v>
      </c>
      <c r="C20" s="1" t="s">
        <v>6</v>
      </c>
    </row>
    <row r="21" spans="1:3" x14ac:dyDescent="0.2">
      <c r="A21" s="7" t="s">
        <v>4</v>
      </c>
      <c r="B21">
        <v>7</v>
      </c>
      <c r="C21" t="s">
        <v>7</v>
      </c>
    </row>
    <row r="22" spans="1:3" x14ac:dyDescent="0.2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ranking">
                <anchor moveWithCells="1" sizeWithCells="1">
                  <from>
                    <xdr:col>13</xdr:col>
                    <xdr:colOff>355600</xdr:colOff>
                    <xdr:row>5</xdr:row>
                    <xdr:rowOff>203200</xdr:rowOff>
                  </from>
                  <to>
                    <xdr:col>15</xdr:col>
                    <xdr:colOff>787400</xdr:colOff>
                    <xdr:row>10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enableFormatConditionsCalculation="0"/>
  <dimension ref="A1:L22"/>
  <sheetViews>
    <sheetView workbookViewId="0">
      <selection activeCell="N24" sqref="N24"/>
    </sheetView>
  </sheetViews>
  <sheetFormatPr baseColWidth="10" defaultColWidth="8.83203125" defaultRowHeight="15" x14ac:dyDescent="0.2"/>
  <cols>
    <col min="1" max="1" width="7.1640625" bestFit="1" customWidth="1"/>
    <col min="2" max="2" width="15.1640625" bestFit="1" customWidth="1"/>
    <col min="3" max="6" width="3.33203125" bestFit="1" customWidth="1"/>
    <col min="7" max="8" width="3.5" bestFit="1" customWidth="1"/>
    <col min="9" max="9" width="4.5" bestFit="1" customWidth="1"/>
    <col min="10" max="10" width="5.1640625" bestFit="1" customWidth="1"/>
    <col min="11" max="11" width="6.1640625" style="23" customWidth="1"/>
    <col min="12" max="12" width="7.1640625" bestFit="1" customWidth="1"/>
  </cols>
  <sheetData>
    <row r="1" spans="1:12" x14ac:dyDescent="0.2">
      <c r="A1" s="41" t="s">
        <v>1</v>
      </c>
      <c r="B1" s="42" t="s">
        <v>63</v>
      </c>
      <c r="C1" s="42" t="s">
        <v>64</v>
      </c>
      <c r="D1" s="42" t="s">
        <v>65</v>
      </c>
      <c r="E1" s="42" t="s">
        <v>20</v>
      </c>
      <c r="F1" s="42" t="s">
        <v>66</v>
      </c>
      <c r="G1" s="42" t="s">
        <v>67</v>
      </c>
      <c r="H1" s="42" t="s">
        <v>22</v>
      </c>
      <c r="I1" s="42" t="s">
        <v>68</v>
      </c>
      <c r="J1" s="42" t="s">
        <v>69</v>
      </c>
      <c r="K1" s="24">
        <v>0</v>
      </c>
      <c r="L1" s="21" t="s">
        <v>59</v>
      </c>
    </row>
    <row r="2" spans="1:12" x14ac:dyDescent="0.2">
      <c r="A2" s="3">
        <v>1</v>
      </c>
      <c r="B2" s="2" t="s">
        <v>158</v>
      </c>
      <c r="C2" s="2">
        <v>10</v>
      </c>
      <c r="D2" s="2">
        <v>4</v>
      </c>
      <c r="E2" s="2">
        <v>2</v>
      </c>
      <c r="F2" s="2">
        <v>4</v>
      </c>
      <c r="G2" s="2">
        <v>22</v>
      </c>
      <c r="H2" s="2">
        <v>15</v>
      </c>
      <c r="I2" s="2">
        <v>7</v>
      </c>
      <c r="J2" s="9">
        <v>14</v>
      </c>
      <c r="K2" s="23" t="str">
        <f t="shared" ref="K2:K13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2">
        <f>((COUNTA(A$2:A$15)-1-1)-C2)*3+J2</f>
        <v>14</v>
      </c>
    </row>
    <row r="3" spans="1:12" x14ac:dyDescent="0.2">
      <c r="A3" s="3">
        <v>2</v>
      </c>
      <c r="B3" s="2" t="s">
        <v>123</v>
      </c>
      <c r="C3" s="2">
        <v>7</v>
      </c>
      <c r="D3" s="2">
        <v>4</v>
      </c>
      <c r="E3" s="2">
        <v>1</v>
      </c>
      <c r="F3" s="2">
        <v>2</v>
      </c>
      <c r="G3" s="2">
        <v>16</v>
      </c>
      <c r="H3" s="2">
        <v>9</v>
      </c>
      <c r="I3" s="2">
        <v>7</v>
      </c>
      <c r="J3" s="9">
        <v>13</v>
      </c>
      <c r="K3" s="23" t="str">
        <f t="shared" si="0"/>
        <v/>
      </c>
      <c r="L3" s="22">
        <f t="shared" ref="L3:L13" si="1">((COUNTA(A$2:A$15)-1-1)-C3)*3+J3</f>
        <v>22</v>
      </c>
    </row>
    <row r="4" spans="1:12" x14ac:dyDescent="0.2">
      <c r="A4" s="3">
        <v>3</v>
      </c>
      <c r="B4" s="2" t="s">
        <v>122</v>
      </c>
      <c r="C4" s="2">
        <v>7</v>
      </c>
      <c r="D4" s="2">
        <v>3</v>
      </c>
      <c r="E4" s="2">
        <v>3</v>
      </c>
      <c r="F4" s="2">
        <v>1</v>
      </c>
      <c r="G4" s="2">
        <v>11</v>
      </c>
      <c r="H4" s="2">
        <v>9</v>
      </c>
      <c r="I4" s="2">
        <v>2</v>
      </c>
      <c r="J4" s="9">
        <v>12</v>
      </c>
      <c r="K4" s="23" t="str">
        <f t="shared" si="0"/>
        <v/>
      </c>
      <c r="L4" s="22">
        <f t="shared" si="1"/>
        <v>21</v>
      </c>
    </row>
    <row r="5" spans="1:12" x14ac:dyDescent="0.2">
      <c r="A5" s="3">
        <v>4</v>
      </c>
      <c r="B5" s="2" t="s">
        <v>131</v>
      </c>
      <c r="C5" s="2">
        <v>7</v>
      </c>
      <c r="D5" s="2">
        <v>3</v>
      </c>
      <c r="E5" s="2">
        <v>2</v>
      </c>
      <c r="F5" s="2">
        <v>2</v>
      </c>
      <c r="G5" s="2">
        <v>11</v>
      </c>
      <c r="H5" s="2">
        <v>8</v>
      </c>
      <c r="I5" s="2">
        <v>3</v>
      </c>
      <c r="J5" s="9">
        <v>11</v>
      </c>
      <c r="K5" s="23" t="str">
        <f t="shared" si="0"/>
        <v/>
      </c>
      <c r="L5" s="22">
        <f t="shared" si="1"/>
        <v>20</v>
      </c>
    </row>
    <row r="6" spans="1:12" x14ac:dyDescent="0.2">
      <c r="A6" s="3">
        <v>5</v>
      </c>
      <c r="B6" s="2" t="s">
        <v>77</v>
      </c>
      <c r="C6" s="2">
        <v>6</v>
      </c>
      <c r="D6" s="2">
        <v>3</v>
      </c>
      <c r="E6" s="2">
        <v>1</v>
      </c>
      <c r="F6" s="2">
        <v>2</v>
      </c>
      <c r="G6" s="2">
        <v>8</v>
      </c>
      <c r="H6" s="2">
        <v>7</v>
      </c>
      <c r="I6" s="2">
        <v>1</v>
      </c>
      <c r="J6" s="9">
        <v>10</v>
      </c>
      <c r="K6" s="23" t="str">
        <f t="shared" si="0"/>
        <v/>
      </c>
      <c r="L6" s="22">
        <f t="shared" si="1"/>
        <v>22</v>
      </c>
    </row>
    <row r="7" spans="1:12" x14ac:dyDescent="0.2">
      <c r="A7" s="3">
        <v>6</v>
      </c>
      <c r="B7" s="2" t="s">
        <v>96</v>
      </c>
      <c r="C7" s="2">
        <v>4</v>
      </c>
      <c r="D7" s="2">
        <v>3</v>
      </c>
      <c r="E7" s="2">
        <v>0</v>
      </c>
      <c r="F7" s="2">
        <v>1</v>
      </c>
      <c r="G7" s="2">
        <v>8</v>
      </c>
      <c r="H7" s="2">
        <v>4</v>
      </c>
      <c r="I7" s="2">
        <v>4</v>
      </c>
      <c r="J7" s="9">
        <v>9</v>
      </c>
      <c r="K7" s="23" t="str">
        <f t="shared" si="0"/>
        <v/>
      </c>
      <c r="L7" s="22">
        <f t="shared" si="1"/>
        <v>27</v>
      </c>
    </row>
    <row r="8" spans="1:12" x14ac:dyDescent="0.2">
      <c r="A8" s="3">
        <v>7</v>
      </c>
      <c r="B8" s="2" t="s">
        <v>152</v>
      </c>
      <c r="C8" s="2">
        <v>4</v>
      </c>
      <c r="D8" s="2">
        <v>2</v>
      </c>
      <c r="E8" s="2">
        <v>2</v>
      </c>
      <c r="F8" s="2">
        <v>0</v>
      </c>
      <c r="G8" s="2">
        <v>3</v>
      </c>
      <c r="H8" s="2">
        <v>1</v>
      </c>
      <c r="I8" s="2">
        <v>2</v>
      </c>
      <c r="J8" s="9">
        <v>8</v>
      </c>
      <c r="K8" s="23" t="str">
        <f t="shared" si="0"/>
        <v/>
      </c>
      <c r="L8" s="22">
        <f t="shared" si="1"/>
        <v>26</v>
      </c>
    </row>
    <row r="9" spans="1:12" x14ac:dyDescent="0.2">
      <c r="A9" s="3">
        <v>8</v>
      </c>
      <c r="B9" s="2" t="s">
        <v>129</v>
      </c>
      <c r="C9" s="2">
        <v>6</v>
      </c>
      <c r="D9" s="2">
        <v>2</v>
      </c>
      <c r="E9" s="2">
        <v>1</v>
      </c>
      <c r="F9" s="2">
        <v>3</v>
      </c>
      <c r="G9" s="2">
        <v>5</v>
      </c>
      <c r="H9" s="2">
        <v>13</v>
      </c>
      <c r="I9" s="2">
        <v>-8</v>
      </c>
      <c r="J9" s="9">
        <v>7</v>
      </c>
      <c r="K9" s="23" t="str">
        <f t="shared" si="0"/>
        <v/>
      </c>
      <c r="L9" s="22">
        <f t="shared" si="1"/>
        <v>19</v>
      </c>
    </row>
    <row r="10" spans="1:12" x14ac:dyDescent="0.2">
      <c r="A10" s="3">
        <v>9</v>
      </c>
      <c r="B10" s="2" t="s">
        <v>125</v>
      </c>
      <c r="C10" s="2">
        <v>8</v>
      </c>
      <c r="D10" s="2">
        <v>1</v>
      </c>
      <c r="E10" s="2">
        <v>3</v>
      </c>
      <c r="F10" s="2">
        <v>4</v>
      </c>
      <c r="G10" s="2">
        <v>9</v>
      </c>
      <c r="H10" s="2">
        <v>13</v>
      </c>
      <c r="I10" s="2">
        <v>-4</v>
      </c>
      <c r="J10" s="9">
        <v>6</v>
      </c>
      <c r="K10" s="23" t="str">
        <f t="shared" si="0"/>
        <v/>
      </c>
      <c r="L10" s="22">
        <f t="shared" si="1"/>
        <v>12</v>
      </c>
    </row>
    <row r="11" spans="1:12" x14ac:dyDescent="0.2">
      <c r="A11" s="3">
        <v>10</v>
      </c>
      <c r="B11" s="2" t="s">
        <v>120</v>
      </c>
      <c r="C11" s="2">
        <v>4</v>
      </c>
      <c r="D11" s="2">
        <v>0</v>
      </c>
      <c r="E11" s="2">
        <v>2</v>
      </c>
      <c r="F11" s="2">
        <v>2</v>
      </c>
      <c r="G11" s="2">
        <v>3</v>
      </c>
      <c r="H11" s="2">
        <v>11</v>
      </c>
      <c r="I11" s="2">
        <v>-8</v>
      </c>
      <c r="J11" s="9">
        <v>2</v>
      </c>
      <c r="K11" s="23" t="str">
        <f t="shared" si="0"/>
        <v/>
      </c>
      <c r="L11" s="22">
        <f t="shared" si="1"/>
        <v>20</v>
      </c>
    </row>
    <row r="12" spans="1:12" x14ac:dyDescent="0.2">
      <c r="A12" s="3">
        <v>11</v>
      </c>
      <c r="B12" s="2" t="s">
        <v>86</v>
      </c>
      <c r="C12" s="2">
        <v>3</v>
      </c>
      <c r="D12" s="2">
        <v>0</v>
      </c>
      <c r="E12" s="2">
        <v>1</v>
      </c>
      <c r="F12" s="2">
        <v>2</v>
      </c>
      <c r="G12" s="2">
        <v>4</v>
      </c>
      <c r="H12" s="2">
        <v>7</v>
      </c>
      <c r="I12" s="2">
        <v>-3</v>
      </c>
      <c r="J12" s="9">
        <v>1</v>
      </c>
      <c r="K12" s="23" t="str">
        <f t="shared" si="0"/>
        <v/>
      </c>
      <c r="L12" s="22">
        <f t="shared" si="1"/>
        <v>22</v>
      </c>
    </row>
    <row r="13" spans="1:12" x14ac:dyDescent="0.2">
      <c r="A13" s="3">
        <v>12</v>
      </c>
      <c r="B13" s="2" t="s">
        <v>128</v>
      </c>
      <c r="C13" s="2">
        <v>2</v>
      </c>
      <c r="D13" s="2">
        <v>0</v>
      </c>
      <c r="E13" s="2">
        <v>0</v>
      </c>
      <c r="F13" s="2">
        <v>2</v>
      </c>
      <c r="G13" s="2">
        <v>0</v>
      </c>
      <c r="H13" s="2">
        <v>3</v>
      </c>
      <c r="I13" s="2">
        <v>-3</v>
      </c>
      <c r="J13" s="9">
        <v>0</v>
      </c>
      <c r="K13" s="23" t="str">
        <f t="shared" si="0"/>
        <v/>
      </c>
      <c r="L13" s="22">
        <f t="shared" si="1"/>
        <v>24</v>
      </c>
    </row>
    <row r="20" spans="1:3" x14ac:dyDescent="0.2">
      <c r="A20" s="6" t="s">
        <v>3</v>
      </c>
      <c r="B20">
        <v>0</v>
      </c>
      <c r="C20" s="1" t="s">
        <v>6</v>
      </c>
    </row>
    <row r="21" spans="1:3" x14ac:dyDescent="0.2">
      <c r="A21" s="7" t="s">
        <v>4</v>
      </c>
      <c r="B21">
        <v>12</v>
      </c>
      <c r="C21" t="s">
        <v>7</v>
      </c>
    </row>
    <row r="22" spans="1:3" x14ac:dyDescent="0.2">
      <c r="A22" s="7" t="s">
        <v>5</v>
      </c>
      <c r="B22">
        <v>1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anking">
                <anchor moveWithCells="1" sizeWithCells="1">
                  <from>
                    <xdr:col>13</xdr:col>
                    <xdr:colOff>355600</xdr:colOff>
                    <xdr:row>5</xdr:row>
                    <xdr:rowOff>203200</xdr:rowOff>
                  </from>
                  <to>
                    <xdr:col>15</xdr:col>
                    <xdr:colOff>787400</xdr:colOff>
                    <xdr:row>10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H93"/>
  <sheetViews>
    <sheetView topLeftCell="A46" workbookViewId="0">
      <selection activeCell="C55" sqref="C55:D55"/>
    </sheetView>
  </sheetViews>
  <sheetFormatPr baseColWidth="10" defaultColWidth="8.83203125" defaultRowHeight="15" x14ac:dyDescent="0.2"/>
  <cols>
    <col min="1" max="2" width="15.1640625" bestFit="1" customWidth="1"/>
    <col min="3" max="4" width="2.5" style="50" bestFit="1" customWidth="1"/>
    <col min="6" max="6" width="3.6640625" style="35" customWidth="1"/>
    <col min="7" max="7" width="3.33203125" style="35" bestFit="1" customWidth="1"/>
    <col min="8" max="8" width="5.1640625" style="35" bestFit="1" customWidth="1"/>
  </cols>
  <sheetData>
    <row r="1" spans="1:8" x14ac:dyDescent="0.2">
      <c r="A1" s="4" t="s">
        <v>9</v>
      </c>
      <c r="C1" s="49" t="s">
        <v>2</v>
      </c>
      <c r="D1" s="49"/>
      <c r="E1" s="37" t="s">
        <v>55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 x14ac:dyDescent="0.2">
      <c r="A2" t="s">
        <v>28</v>
      </c>
      <c r="B2" t="s">
        <v>91</v>
      </c>
      <c r="C2" s="50">
        <v>1</v>
      </c>
      <c r="D2" s="50">
        <v>0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ca="1">F2&amp;G2</f>
        <v/>
      </c>
    </row>
    <row r="3" spans="1:8" x14ac:dyDescent="0.2">
      <c r="A3" t="s">
        <v>89</v>
      </c>
      <c r="B3" t="s">
        <v>27</v>
      </c>
      <c r="C3" s="50">
        <v>0</v>
      </c>
      <c r="D3" s="50">
        <v>2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ref="H3:H66" ca="1" si="0">F3&amp;G3</f>
        <v/>
      </c>
    </row>
    <row r="4" spans="1:8" x14ac:dyDescent="0.2">
      <c r="B4" t="s">
        <v>29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 x14ac:dyDescent="0.2">
      <c r="A5" t="s">
        <v>95</v>
      </c>
      <c r="B5" t="s">
        <v>13</v>
      </c>
      <c r="C5" s="50">
        <v>4</v>
      </c>
      <c r="D5" s="50">
        <v>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 x14ac:dyDescent="0.2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 x14ac:dyDescent="0.2">
      <c r="A7" t="s">
        <v>28</v>
      </c>
      <c r="B7" t="s">
        <v>27</v>
      </c>
      <c r="C7" s="50">
        <v>1</v>
      </c>
      <c r="D7" s="50">
        <v>1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 x14ac:dyDescent="0.2">
      <c r="A8" t="s">
        <v>91</v>
      </c>
      <c r="B8" t="s">
        <v>29</v>
      </c>
      <c r="C8" s="50">
        <v>0</v>
      </c>
      <c r="D8" s="50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 x14ac:dyDescent="0.2">
      <c r="A9" t="s">
        <v>89</v>
      </c>
      <c r="B9" t="s">
        <v>13</v>
      </c>
      <c r="C9" s="50">
        <v>0</v>
      </c>
      <c r="D9" s="50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 x14ac:dyDescent="0.2">
      <c r="B10" t="s">
        <v>95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 x14ac:dyDescent="0.2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 x14ac:dyDescent="0.2">
      <c r="A12" t="s">
        <v>28</v>
      </c>
      <c r="B12" t="s">
        <v>29</v>
      </c>
      <c r="C12" s="50">
        <v>0</v>
      </c>
      <c r="D12" s="50">
        <v>1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 x14ac:dyDescent="0.2">
      <c r="A13" t="s">
        <v>27</v>
      </c>
      <c r="B13" t="s">
        <v>13</v>
      </c>
      <c r="C13" s="50">
        <v>2</v>
      </c>
      <c r="D13" s="50">
        <v>0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 x14ac:dyDescent="0.2">
      <c r="A14" t="s">
        <v>91</v>
      </c>
      <c r="B14" t="s">
        <v>95</v>
      </c>
      <c r="C14" s="50">
        <v>0</v>
      </c>
      <c r="D14" s="50">
        <v>2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 x14ac:dyDescent="0.2">
      <c r="A15" t="s">
        <v>89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 x14ac:dyDescent="0.2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 x14ac:dyDescent="0.2">
      <c r="A17" t="s">
        <v>28</v>
      </c>
      <c r="B17" t="s">
        <v>13</v>
      </c>
      <c r="C17" s="50">
        <v>0</v>
      </c>
      <c r="D17" s="50">
        <v>2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 x14ac:dyDescent="0.2">
      <c r="A18" t="s">
        <v>29</v>
      </c>
      <c r="B18" t="s">
        <v>95</v>
      </c>
      <c r="C18" s="50">
        <v>1</v>
      </c>
      <c r="D18" s="50">
        <v>0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 x14ac:dyDescent="0.2">
      <c r="A19" t="s">
        <v>27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 x14ac:dyDescent="0.2">
      <c r="A20" t="s">
        <v>91</v>
      </c>
      <c r="B20" t="s">
        <v>89</v>
      </c>
      <c r="C20" s="50">
        <v>1</v>
      </c>
      <c r="D20" s="50">
        <v>1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 x14ac:dyDescent="0.2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 x14ac:dyDescent="0.2">
      <c r="A22" t="s">
        <v>28</v>
      </c>
      <c r="B22" t="s">
        <v>95</v>
      </c>
      <c r="C22" s="50">
        <v>0</v>
      </c>
      <c r="D22" s="50">
        <v>2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 x14ac:dyDescent="0.2">
      <c r="A23" t="s">
        <v>13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 x14ac:dyDescent="0.2">
      <c r="A24" t="s">
        <v>29</v>
      </c>
      <c r="B24" t="s">
        <v>89</v>
      </c>
      <c r="C24" s="50">
        <v>1</v>
      </c>
      <c r="D24" s="50">
        <v>0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 x14ac:dyDescent="0.2">
      <c r="A25" s="51" t="s">
        <v>27</v>
      </c>
      <c r="B25" s="51" t="s">
        <v>91</v>
      </c>
      <c r="C25" s="50">
        <v>2</v>
      </c>
      <c r="D25" s="50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 x14ac:dyDescent="0.2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 x14ac:dyDescent="0.2">
      <c r="A27" t="s">
        <v>28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 x14ac:dyDescent="0.2">
      <c r="A28" t="s">
        <v>95</v>
      </c>
      <c r="B28" t="s">
        <v>89</v>
      </c>
      <c r="C28" s="50">
        <v>3</v>
      </c>
      <c r="D28" s="50">
        <v>0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 x14ac:dyDescent="0.2">
      <c r="A29" t="s">
        <v>13</v>
      </c>
      <c r="B29" t="s">
        <v>91</v>
      </c>
      <c r="C29" s="50">
        <v>2</v>
      </c>
      <c r="D29" s="50">
        <v>2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 x14ac:dyDescent="0.2">
      <c r="A30" t="s">
        <v>29</v>
      </c>
      <c r="B30" t="s">
        <v>27</v>
      </c>
      <c r="C30" s="50">
        <v>0</v>
      </c>
      <c r="D30" s="50">
        <v>2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 x14ac:dyDescent="0.2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 x14ac:dyDescent="0.2">
      <c r="A32" t="s">
        <v>28</v>
      </c>
      <c r="B32" t="s">
        <v>89</v>
      </c>
      <c r="C32" s="50">
        <v>2</v>
      </c>
      <c r="D32" s="50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 x14ac:dyDescent="0.2">
      <c r="B33" t="s">
        <v>91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 x14ac:dyDescent="0.2">
      <c r="A34" t="s">
        <v>95</v>
      </c>
      <c r="B34" t="s">
        <v>27</v>
      </c>
      <c r="C34" s="50">
        <v>2</v>
      </c>
      <c r="D34" s="50">
        <v>1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 x14ac:dyDescent="0.2">
      <c r="A35" t="s">
        <v>13</v>
      </c>
      <c r="B35" t="s">
        <v>29</v>
      </c>
      <c r="C35" s="50">
        <v>1</v>
      </c>
      <c r="D35" s="50">
        <v>1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 x14ac:dyDescent="0.2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 x14ac:dyDescent="0.2">
      <c r="A37" t="s">
        <v>91</v>
      </c>
      <c r="B37" t="s">
        <v>28</v>
      </c>
      <c r="C37" s="50">
        <v>1</v>
      </c>
      <c r="D37" s="50">
        <v>3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 x14ac:dyDescent="0.2">
      <c r="A38" t="s">
        <v>27</v>
      </c>
      <c r="B38" t="s">
        <v>89</v>
      </c>
      <c r="C38" s="55">
        <v>0</v>
      </c>
      <c r="D38" s="55">
        <v>0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 x14ac:dyDescent="0.2">
      <c r="A39" t="s">
        <v>29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 x14ac:dyDescent="0.2">
      <c r="A40" t="s">
        <v>13</v>
      </c>
      <c r="B40" t="s">
        <v>95</v>
      </c>
      <c r="C40" s="50">
        <v>4</v>
      </c>
      <c r="D40" s="50">
        <v>3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 x14ac:dyDescent="0.2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 x14ac:dyDescent="0.2">
      <c r="A42" t="s">
        <v>27</v>
      </c>
      <c r="B42" t="s">
        <v>28</v>
      </c>
      <c r="C42" s="50">
        <v>2</v>
      </c>
      <c r="D42" s="50">
        <v>6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 x14ac:dyDescent="0.2">
      <c r="A43" t="s">
        <v>29</v>
      </c>
      <c r="B43" t="s">
        <v>91</v>
      </c>
      <c r="C43" s="50">
        <v>3</v>
      </c>
      <c r="D43" s="50">
        <v>0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 x14ac:dyDescent="0.2">
      <c r="A44" t="s">
        <v>13</v>
      </c>
      <c r="B44" t="s">
        <v>89</v>
      </c>
      <c r="C44" s="50">
        <v>2</v>
      </c>
      <c r="D44" s="50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 x14ac:dyDescent="0.2">
      <c r="A45" t="s">
        <v>95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 x14ac:dyDescent="0.2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 x14ac:dyDescent="0.2">
      <c r="A47" t="s">
        <v>29</v>
      </c>
      <c r="B47" t="s">
        <v>28</v>
      </c>
      <c r="C47" s="50">
        <v>2</v>
      </c>
      <c r="D47" s="50">
        <v>2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 x14ac:dyDescent="0.2">
      <c r="A48" t="s">
        <v>13</v>
      </c>
      <c r="B48" t="s">
        <v>27</v>
      </c>
      <c r="C48" s="50">
        <v>2</v>
      </c>
      <c r="D48" s="50">
        <v>0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 x14ac:dyDescent="0.2">
      <c r="A49" t="s">
        <v>95</v>
      </c>
      <c r="B49" t="s">
        <v>91</v>
      </c>
      <c r="C49" s="55">
        <v>0</v>
      </c>
      <c r="D49" s="55">
        <v>0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 x14ac:dyDescent="0.2">
      <c r="B50" t="s">
        <v>89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 x14ac:dyDescent="0.2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 x14ac:dyDescent="0.2">
      <c r="A52" t="s">
        <v>13</v>
      </c>
      <c r="B52" t="s">
        <v>28</v>
      </c>
      <c r="C52" s="50">
        <v>2</v>
      </c>
      <c r="D52" s="50">
        <v>2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 x14ac:dyDescent="0.2">
      <c r="A53" t="s">
        <v>95</v>
      </c>
      <c r="B53" t="s">
        <v>29</v>
      </c>
      <c r="C53" s="50">
        <v>3</v>
      </c>
      <c r="D53" s="50">
        <v>1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 x14ac:dyDescent="0.2">
      <c r="B54" t="s">
        <v>27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 x14ac:dyDescent="0.2">
      <c r="A55" t="s">
        <v>89</v>
      </c>
      <c r="B55" t="s">
        <v>91</v>
      </c>
      <c r="C55" s="55">
        <v>0</v>
      </c>
      <c r="D55" s="55">
        <v>0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 x14ac:dyDescent="0.2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 x14ac:dyDescent="0.2">
      <c r="A57" t="s">
        <v>95</v>
      </c>
      <c r="B57" t="s">
        <v>28</v>
      </c>
      <c r="C57" s="50">
        <v>1</v>
      </c>
      <c r="D57" s="50">
        <v>0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 x14ac:dyDescent="0.2">
      <c r="B58" t="s">
        <v>13</v>
      </c>
      <c r="E58" s="43"/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 x14ac:dyDescent="0.2">
      <c r="A59" t="s">
        <v>89</v>
      </c>
      <c r="B59" t="s">
        <v>29</v>
      </c>
      <c r="C59" s="50">
        <v>0</v>
      </c>
      <c r="D59" s="50">
        <v>4</v>
      </c>
      <c r="E59" s="43"/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 x14ac:dyDescent="0.2">
      <c r="A60" t="s">
        <v>91</v>
      </c>
      <c r="B60" t="s">
        <v>27</v>
      </c>
      <c r="C60" s="50">
        <v>3</v>
      </c>
      <c r="D60" s="50">
        <v>0</v>
      </c>
      <c r="E60" s="43"/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 x14ac:dyDescent="0.2">
      <c r="A61" s="4" t="s">
        <v>35</v>
      </c>
      <c r="E61" s="43"/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 x14ac:dyDescent="0.2">
      <c r="B62" t="s">
        <v>28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 x14ac:dyDescent="0.2">
      <c r="A63" t="s">
        <v>89</v>
      </c>
      <c r="B63" t="s">
        <v>95</v>
      </c>
      <c r="C63" s="50">
        <v>0</v>
      </c>
      <c r="D63" s="50">
        <v>3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 x14ac:dyDescent="0.2">
      <c r="A64" t="s">
        <v>91</v>
      </c>
      <c r="B64" t="s">
        <v>13</v>
      </c>
      <c r="C64" s="50">
        <v>1</v>
      </c>
      <c r="D64" s="50">
        <v>0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 x14ac:dyDescent="0.2">
      <c r="A65" t="s">
        <v>27</v>
      </c>
      <c r="B65" t="s">
        <v>29</v>
      </c>
      <c r="C65" s="50">
        <v>0</v>
      </c>
      <c r="D65" s="50">
        <v>2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 x14ac:dyDescent="0.2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ca="1" si="0"/>
        <v/>
      </c>
    </row>
    <row r="67" spans="1:8" x14ac:dyDescent="0.2">
      <c r="A67" t="s">
        <v>89</v>
      </c>
      <c r="B67" t="s">
        <v>28</v>
      </c>
      <c r="C67" s="50">
        <v>0</v>
      </c>
      <c r="D67" s="50">
        <v>2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ref="H67:H93" ca="1" si="1">F67&amp;G67</f>
        <v/>
      </c>
    </row>
    <row r="68" spans="1:8" x14ac:dyDescent="0.2">
      <c r="A68" t="s">
        <v>91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 x14ac:dyDescent="0.2">
      <c r="A69" t="s">
        <v>27</v>
      </c>
      <c r="B69" t="s">
        <v>95</v>
      </c>
      <c r="C69" s="50">
        <v>2</v>
      </c>
      <c r="D69" s="50">
        <v>3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 x14ac:dyDescent="0.2">
      <c r="A70" t="s">
        <v>29</v>
      </c>
      <c r="B70" t="s">
        <v>13</v>
      </c>
      <c r="C70" s="50">
        <v>1</v>
      </c>
      <c r="D70" s="50">
        <v>1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 x14ac:dyDescent="0.2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 x14ac:dyDescent="0.2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 x14ac:dyDescent="0.2">
      <c r="H73" s="35" t="str">
        <f t="shared" si="1"/>
        <v/>
      </c>
    </row>
    <row r="74" spans="1:8" x14ac:dyDescent="0.2">
      <c r="H74" s="35" t="str">
        <f t="shared" si="1"/>
        <v/>
      </c>
    </row>
    <row r="75" spans="1:8" x14ac:dyDescent="0.2">
      <c r="H75" s="35" t="str">
        <f t="shared" si="1"/>
        <v/>
      </c>
    </row>
    <row r="76" spans="1:8" x14ac:dyDescent="0.2">
      <c r="H76" s="35" t="str">
        <f t="shared" si="1"/>
        <v/>
      </c>
    </row>
    <row r="77" spans="1:8" x14ac:dyDescent="0.2">
      <c r="H77" s="35" t="str">
        <f t="shared" si="1"/>
        <v/>
      </c>
    </row>
    <row r="78" spans="1:8" x14ac:dyDescent="0.2">
      <c r="H78" s="35" t="str">
        <f t="shared" si="1"/>
        <v/>
      </c>
    </row>
    <row r="79" spans="1:8" x14ac:dyDescent="0.2">
      <c r="H79" s="35" t="str">
        <f t="shared" si="1"/>
        <v/>
      </c>
    </row>
    <row r="80" spans="1:8" x14ac:dyDescent="0.2">
      <c r="H80" s="35" t="str">
        <f t="shared" si="1"/>
        <v/>
      </c>
    </row>
    <row r="81" spans="8:8" x14ac:dyDescent="0.2">
      <c r="H81" s="35" t="str">
        <f t="shared" si="1"/>
        <v/>
      </c>
    </row>
    <row r="82" spans="8:8" x14ac:dyDescent="0.2">
      <c r="H82" s="35" t="str">
        <f t="shared" si="1"/>
        <v/>
      </c>
    </row>
    <row r="83" spans="8:8" x14ac:dyDescent="0.2">
      <c r="H83" s="35" t="str">
        <f t="shared" si="1"/>
        <v/>
      </c>
    </row>
    <row r="84" spans="8:8" x14ac:dyDescent="0.2">
      <c r="H84" s="35" t="str">
        <f t="shared" si="1"/>
        <v/>
      </c>
    </row>
    <row r="85" spans="8:8" x14ac:dyDescent="0.2">
      <c r="H85" s="35" t="str">
        <f t="shared" si="1"/>
        <v/>
      </c>
    </row>
    <row r="86" spans="8:8" x14ac:dyDescent="0.2">
      <c r="H86" s="35" t="str">
        <f t="shared" si="1"/>
        <v/>
      </c>
    </row>
    <row r="87" spans="8:8" x14ac:dyDescent="0.2">
      <c r="H87" s="35" t="str">
        <f t="shared" si="1"/>
        <v/>
      </c>
    </row>
    <row r="88" spans="8:8" x14ac:dyDescent="0.2">
      <c r="H88" s="35" t="str">
        <f t="shared" si="1"/>
        <v/>
      </c>
    </row>
    <row r="89" spans="8:8" x14ac:dyDescent="0.2">
      <c r="H89" s="35" t="str">
        <f t="shared" si="1"/>
        <v/>
      </c>
    </row>
    <row r="90" spans="8:8" x14ac:dyDescent="0.2">
      <c r="H90" s="35" t="str">
        <f t="shared" si="1"/>
        <v/>
      </c>
    </row>
    <row r="91" spans="8:8" x14ac:dyDescent="0.2">
      <c r="H91" s="35" t="str">
        <f t="shared" si="1"/>
        <v/>
      </c>
    </row>
    <row r="92" spans="8:8" x14ac:dyDescent="0.2">
      <c r="H92" s="35" t="str">
        <f t="shared" si="1"/>
        <v/>
      </c>
    </row>
    <row r="93" spans="8:8" x14ac:dyDescent="0.2">
      <c r="H93" s="35" t="str">
        <f t="shared" si="1"/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H72"/>
  <sheetViews>
    <sheetView workbookViewId="0">
      <selection activeCell="F69" sqref="F69"/>
    </sheetView>
  </sheetViews>
  <sheetFormatPr baseColWidth="10" defaultColWidth="8.83203125" defaultRowHeight="15" x14ac:dyDescent="0.2"/>
  <cols>
    <col min="1" max="2" width="15.1640625" bestFit="1" customWidth="1"/>
    <col min="3" max="4" width="2.5" bestFit="1" customWidth="1"/>
    <col min="6" max="7" width="3.6640625" style="35" customWidth="1"/>
    <col min="8" max="8" width="3.33203125" style="35" bestFit="1" customWidth="1"/>
  </cols>
  <sheetData>
    <row r="1" spans="1:8" x14ac:dyDescent="0.2">
      <c r="A1" s="4" t="s">
        <v>9</v>
      </c>
      <c r="C1" s="5" t="s">
        <v>2</v>
      </c>
      <c r="D1" s="5"/>
      <c r="E1" s="38" t="s">
        <v>56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 x14ac:dyDescent="0.2">
      <c r="A2" t="s">
        <v>83</v>
      </c>
      <c r="B2" t="s">
        <v>37</v>
      </c>
      <c r="C2">
        <v>0</v>
      </c>
      <c r="D2">
        <v>1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 x14ac:dyDescent="0.2">
      <c r="A3" t="s">
        <v>85</v>
      </c>
      <c r="B3" t="s">
        <v>80</v>
      </c>
      <c r="C3">
        <v>1</v>
      </c>
      <c r="D3">
        <v>0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 x14ac:dyDescent="0.2">
      <c r="A4" t="s">
        <v>14</v>
      </c>
      <c r="B4" t="s">
        <v>97</v>
      </c>
      <c r="C4">
        <v>0</v>
      </c>
      <c r="D4">
        <v>2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 x14ac:dyDescent="0.2">
      <c r="B5" t="s">
        <v>98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 x14ac:dyDescent="0.2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 x14ac:dyDescent="0.2">
      <c r="A7" t="s">
        <v>83</v>
      </c>
      <c r="B7" t="s">
        <v>80</v>
      </c>
      <c r="C7">
        <v>2</v>
      </c>
      <c r="D7">
        <v>3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 x14ac:dyDescent="0.2">
      <c r="A8" t="s">
        <v>37</v>
      </c>
      <c r="B8" t="s">
        <v>97</v>
      </c>
      <c r="C8">
        <v>1</v>
      </c>
      <c r="D8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 x14ac:dyDescent="0.2">
      <c r="A9" t="s">
        <v>85</v>
      </c>
      <c r="B9" t="s">
        <v>98</v>
      </c>
      <c r="C9">
        <v>1</v>
      </c>
      <c r="D9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 x14ac:dyDescent="0.2">
      <c r="A10" t="s">
        <v>14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 x14ac:dyDescent="0.2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 x14ac:dyDescent="0.2">
      <c r="A12" t="s">
        <v>83</v>
      </c>
      <c r="B12" t="s">
        <v>97</v>
      </c>
      <c r="C12">
        <v>0</v>
      </c>
      <c r="D12">
        <v>0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 x14ac:dyDescent="0.2">
      <c r="A13" t="s">
        <v>80</v>
      </c>
      <c r="B13" t="s">
        <v>98</v>
      </c>
      <c r="C13">
        <v>0</v>
      </c>
      <c r="D13">
        <v>0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 x14ac:dyDescent="0.2">
      <c r="A14" t="s">
        <v>37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 x14ac:dyDescent="0.2">
      <c r="A15" t="s">
        <v>85</v>
      </c>
      <c r="B15" t="s">
        <v>118</v>
      </c>
      <c r="C15">
        <v>1</v>
      </c>
      <c r="D15">
        <v>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 x14ac:dyDescent="0.2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 x14ac:dyDescent="0.2">
      <c r="A17" t="s">
        <v>83</v>
      </c>
      <c r="B17" t="s">
        <v>98</v>
      </c>
      <c r="C17">
        <v>2</v>
      </c>
      <c r="D17">
        <v>0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 x14ac:dyDescent="0.2">
      <c r="A18" t="s">
        <v>97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 x14ac:dyDescent="0.2">
      <c r="A19" t="s">
        <v>80</v>
      </c>
      <c r="B19" t="s">
        <v>14</v>
      </c>
      <c r="C19">
        <v>3</v>
      </c>
      <c r="D19">
        <v>0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 x14ac:dyDescent="0.2">
      <c r="A20" t="s">
        <v>37</v>
      </c>
      <c r="B20" t="s">
        <v>85</v>
      </c>
      <c r="C20">
        <v>0</v>
      </c>
      <c r="D20">
        <v>2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 x14ac:dyDescent="0.2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 x14ac:dyDescent="0.2">
      <c r="A22" t="s">
        <v>83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 x14ac:dyDescent="0.2">
      <c r="A23" t="s">
        <v>98</v>
      </c>
      <c r="B23" t="s">
        <v>14</v>
      </c>
      <c r="C23">
        <v>2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 x14ac:dyDescent="0.2">
      <c r="A24" t="s">
        <v>97</v>
      </c>
      <c r="B24" t="s">
        <v>85</v>
      </c>
      <c r="C24">
        <v>3</v>
      </c>
      <c r="D24">
        <v>2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 x14ac:dyDescent="0.2">
      <c r="A25" t="s">
        <v>80</v>
      </c>
      <c r="B25" t="s">
        <v>37</v>
      </c>
      <c r="C25">
        <v>3</v>
      </c>
      <c r="D25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 x14ac:dyDescent="0.2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 x14ac:dyDescent="0.2">
      <c r="A27" t="s">
        <v>83</v>
      </c>
      <c r="B27" s="1" t="s">
        <v>14</v>
      </c>
      <c r="C27">
        <v>3</v>
      </c>
      <c r="D27">
        <v>1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 x14ac:dyDescent="0.2">
      <c r="B28" t="s">
        <v>85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 x14ac:dyDescent="0.2">
      <c r="A29" t="s">
        <v>98</v>
      </c>
      <c r="B29" t="s">
        <v>37</v>
      </c>
      <c r="C29">
        <v>4</v>
      </c>
      <c r="D29">
        <v>0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 x14ac:dyDescent="0.2">
      <c r="A30" t="s">
        <v>97</v>
      </c>
      <c r="B30" t="s">
        <v>80</v>
      </c>
      <c r="C30">
        <v>3</v>
      </c>
      <c r="D30">
        <v>1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 x14ac:dyDescent="0.2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 x14ac:dyDescent="0.2">
      <c r="A32" t="s">
        <v>83</v>
      </c>
      <c r="B32" t="s">
        <v>85</v>
      </c>
      <c r="C32">
        <v>0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 x14ac:dyDescent="0.2">
      <c r="A33" t="s">
        <v>14</v>
      </c>
      <c r="B33" t="s">
        <v>37</v>
      </c>
      <c r="C33">
        <v>1</v>
      </c>
      <c r="D33">
        <v>0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 x14ac:dyDescent="0.2">
      <c r="B34" t="s">
        <v>80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 x14ac:dyDescent="0.2">
      <c r="A35" t="s">
        <v>98</v>
      </c>
      <c r="B35" t="s">
        <v>97</v>
      </c>
      <c r="C35">
        <v>0</v>
      </c>
      <c r="D35">
        <v>1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 x14ac:dyDescent="0.2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 x14ac:dyDescent="0.2">
      <c r="A37" t="s">
        <v>37</v>
      </c>
      <c r="B37" t="s">
        <v>83</v>
      </c>
      <c r="C37">
        <v>0</v>
      </c>
      <c r="D37">
        <v>1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 x14ac:dyDescent="0.2">
      <c r="A38" t="s">
        <v>80</v>
      </c>
      <c r="B38" t="s">
        <v>85</v>
      </c>
      <c r="C38">
        <v>1</v>
      </c>
      <c r="D38">
        <v>3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 x14ac:dyDescent="0.2">
      <c r="A39" t="s">
        <v>97</v>
      </c>
      <c r="B39" t="s">
        <v>14</v>
      </c>
      <c r="C39">
        <v>1</v>
      </c>
      <c r="D39">
        <v>1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 x14ac:dyDescent="0.2">
      <c r="A40" t="s">
        <v>98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 x14ac:dyDescent="0.2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 x14ac:dyDescent="0.2">
      <c r="A42" t="s">
        <v>80</v>
      </c>
      <c r="B42" t="s">
        <v>83</v>
      </c>
      <c r="C42">
        <v>3</v>
      </c>
      <c r="D42">
        <v>1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 x14ac:dyDescent="0.2">
      <c r="A43" t="s">
        <v>97</v>
      </c>
      <c r="B43" t="s">
        <v>37</v>
      </c>
      <c r="C43">
        <v>1</v>
      </c>
      <c r="D43">
        <v>0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 x14ac:dyDescent="0.2">
      <c r="A44" t="s">
        <v>98</v>
      </c>
      <c r="B44" t="s">
        <v>85</v>
      </c>
      <c r="C44">
        <v>0</v>
      </c>
      <c r="D44">
        <v>1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 x14ac:dyDescent="0.2">
      <c r="B45" t="s">
        <v>14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 x14ac:dyDescent="0.2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 x14ac:dyDescent="0.2">
      <c r="A47" t="s">
        <v>97</v>
      </c>
      <c r="B47" t="s">
        <v>83</v>
      </c>
      <c r="C47">
        <v>2</v>
      </c>
      <c r="D47">
        <v>1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 x14ac:dyDescent="0.2">
      <c r="A48" t="s">
        <v>98</v>
      </c>
      <c r="B48" t="s">
        <v>80</v>
      </c>
      <c r="C48">
        <v>1</v>
      </c>
      <c r="D48">
        <v>1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 x14ac:dyDescent="0.2">
      <c r="B49" t="s">
        <v>37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 x14ac:dyDescent="0.2">
      <c r="A50" t="s">
        <v>14</v>
      </c>
      <c r="B50" t="s">
        <v>85</v>
      </c>
      <c r="C50">
        <v>0</v>
      </c>
      <c r="D50">
        <v>1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 x14ac:dyDescent="0.2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 x14ac:dyDescent="0.2">
      <c r="A52" t="s">
        <v>98</v>
      </c>
      <c r="B52" t="s">
        <v>83</v>
      </c>
      <c r="C52">
        <v>2</v>
      </c>
      <c r="D52">
        <v>0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 x14ac:dyDescent="0.2">
      <c r="B53" t="s">
        <v>97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 x14ac:dyDescent="0.2">
      <c r="A54" t="s">
        <v>14</v>
      </c>
      <c r="B54" t="s">
        <v>80</v>
      </c>
      <c r="C54">
        <v>0</v>
      </c>
      <c r="D54">
        <v>2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 x14ac:dyDescent="0.2">
      <c r="A55" t="s">
        <v>85</v>
      </c>
      <c r="B55" t="s">
        <v>37</v>
      </c>
      <c r="C55">
        <v>2</v>
      </c>
      <c r="D55">
        <v>3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 x14ac:dyDescent="0.2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 x14ac:dyDescent="0.2">
      <c r="B57" t="s">
        <v>83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 x14ac:dyDescent="0.2">
      <c r="A58" t="s">
        <v>14</v>
      </c>
      <c r="B58" t="s">
        <v>98</v>
      </c>
      <c r="C58">
        <v>1</v>
      </c>
      <c r="D58">
        <v>2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 x14ac:dyDescent="0.2">
      <c r="A59" t="s">
        <v>85</v>
      </c>
      <c r="B59" t="s">
        <v>97</v>
      </c>
      <c r="C59">
        <v>2</v>
      </c>
      <c r="D59">
        <v>2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 x14ac:dyDescent="0.2">
      <c r="A60" t="s">
        <v>37</v>
      </c>
      <c r="B60" t="s">
        <v>80</v>
      </c>
      <c r="C60">
        <v>0</v>
      </c>
      <c r="D60">
        <v>2</v>
      </c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 x14ac:dyDescent="0.2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 x14ac:dyDescent="0.2">
      <c r="A62" t="s">
        <v>14</v>
      </c>
      <c r="B62" t="s">
        <v>83</v>
      </c>
      <c r="C62">
        <v>1</v>
      </c>
      <c r="D62">
        <v>2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 x14ac:dyDescent="0.2">
      <c r="A63" t="s">
        <v>85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 x14ac:dyDescent="0.2">
      <c r="A64" t="s">
        <v>37</v>
      </c>
      <c r="B64" t="s">
        <v>98</v>
      </c>
      <c r="C64">
        <v>0</v>
      </c>
      <c r="D64">
        <v>2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 x14ac:dyDescent="0.2">
      <c r="A65" t="s">
        <v>80</v>
      </c>
      <c r="B65" t="s">
        <v>97</v>
      </c>
      <c r="C65">
        <v>0</v>
      </c>
      <c r="D65">
        <v>0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 x14ac:dyDescent="0.2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 x14ac:dyDescent="0.2">
      <c r="A67" t="s">
        <v>85</v>
      </c>
      <c r="B67" t="s">
        <v>83</v>
      </c>
      <c r="C67">
        <v>2</v>
      </c>
      <c r="D67">
        <v>0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 x14ac:dyDescent="0.2">
      <c r="A68" t="s">
        <v>37</v>
      </c>
      <c r="B68" t="s">
        <v>14</v>
      </c>
      <c r="C68">
        <v>1</v>
      </c>
      <c r="D68">
        <v>1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 x14ac:dyDescent="0.2">
      <c r="A69" t="s">
        <v>80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 x14ac:dyDescent="0.2">
      <c r="A70" t="s">
        <v>97</v>
      </c>
      <c r="B70" t="s">
        <v>98</v>
      </c>
      <c r="C70">
        <v>3</v>
      </c>
      <c r="D70">
        <v>0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 x14ac:dyDescent="0.2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 x14ac:dyDescent="0.2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H93"/>
  <sheetViews>
    <sheetView topLeftCell="A67" workbookViewId="0">
      <selection activeCell="E50" sqref="E50"/>
    </sheetView>
  </sheetViews>
  <sheetFormatPr baseColWidth="10" defaultColWidth="8.83203125" defaultRowHeight="15" x14ac:dyDescent="0.2"/>
  <cols>
    <col min="1" max="2" width="15.1640625" bestFit="1" customWidth="1"/>
    <col min="3" max="4" width="2.5" bestFit="1" customWidth="1"/>
    <col min="6" max="7" width="3.33203125" style="35" bestFit="1" customWidth="1"/>
    <col min="8" max="8" width="5.1640625" style="35" bestFit="1" customWidth="1"/>
  </cols>
  <sheetData>
    <row r="1" spans="1:8" x14ac:dyDescent="0.2">
      <c r="A1" s="4" t="s">
        <v>9</v>
      </c>
      <c r="C1" s="5" t="s">
        <v>2</v>
      </c>
      <c r="D1" s="5"/>
      <c r="E1" s="37" t="s">
        <v>57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 x14ac:dyDescent="0.2">
      <c r="A2" t="s">
        <v>39</v>
      </c>
      <c r="B2" t="s">
        <v>99</v>
      </c>
      <c r="C2">
        <v>1</v>
      </c>
      <c r="D2">
        <v>1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 x14ac:dyDescent="0.2">
      <c r="A3" t="s">
        <v>38</v>
      </c>
      <c r="B3" t="s">
        <v>40</v>
      </c>
      <c r="C3">
        <v>1</v>
      </c>
      <c r="D3">
        <v>0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 x14ac:dyDescent="0.2">
      <c r="A4" t="s">
        <v>12</v>
      </c>
      <c r="B4" t="s">
        <v>76</v>
      </c>
      <c r="C4">
        <v>1</v>
      </c>
      <c r="D4">
        <v>4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 x14ac:dyDescent="0.2">
      <c r="B5" t="s">
        <v>100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 x14ac:dyDescent="0.2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 x14ac:dyDescent="0.2">
      <c r="A7" s="51" t="s">
        <v>39</v>
      </c>
      <c r="B7" s="51" t="s">
        <v>40</v>
      </c>
      <c r="C7">
        <v>0</v>
      </c>
      <c r="D7">
        <v>1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 x14ac:dyDescent="0.2">
      <c r="A8" t="s">
        <v>99</v>
      </c>
      <c r="B8" t="s">
        <v>76</v>
      </c>
      <c r="C8">
        <v>0</v>
      </c>
      <c r="D8">
        <v>5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 x14ac:dyDescent="0.2">
      <c r="A9" t="s">
        <v>38</v>
      </c>
      <c r="B9" t="s">
        <v>100</v>
      </c>
      <c r="C9">
        <v>3</v>
      </c>
      <c r="D9">
        <v>1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 x14ac:dyDescent="0.2">
      <c r="A10" t="s">
        <v>12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 x14ac:dyDescent="0.2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 x14ac:dyDescent="0.2">
      <c r="A12" t="s">
        <v>39</v>
      </c>
      <c r="B12" t="s">
        <v>76</v>
      </c>
      <c r="C12">
        <v>2</v>
      </c>
      <c r="D12">
        <v>3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 x14ac:dyDescent="0.2">
      <c r="A13" t="s">
        <v>40</v>
      </c>
      <c r="B13" t="s">
        <v>100</v>
      </c>
      <c r="C13">
        <v>1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 x14ac:dyDescent="0.2">
      <c r="A14" t="s">
        <v>99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 x14ac:dyDescent="0.2">
      <c r="A15" t="s">
        <v>38</v>
      </c>
      <c r="B15" t="s">
        <v>12</v>
      </c>
      <c r="C15">
        <v>0</v>
      </c>
      <c r="D15">
        <v>1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 x14ac:dyDescent="0.2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 x14ac:dyDescent="0.2">
      <c r="A17" t="s">
        <v>39</v>
      </c>
      <c r="B17" t="s">
        <v>100</v>
      </c>
      <c r="C17">
        <v>1</v>
      </c>
      <c r="D17">
        <v>0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 x14ac:dyDescent="0.2">
      <c r="A18" t="s">
        <v>76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 x14ac:dyDescent="0.2">
      <c r="A19" t="s">
        <v>40</v>
      </c>
      <c r="B19" t="s">
        <v>12</v>
      </c>
      <c r="C19">
        <v>2</v>
      </c>
      <c r="D19">
        <v>0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 x14ac:dyDescent="0.2">
      <c r="A20" t="s">
        <v>99</v>
      </c>
      <c r="B20" t="s">
        <v>38</v>
      </c>
      <c r="C20">
        <v>1</v>
      </c>
      <c r="D20">
        <v>1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 x14ac:dyDescent="0.2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 x14ac:dyDescent="0.2">
      <c r="A22" t="s">
        <v>39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 x14ac:dyDescent="0.2">
      <c r="A23" t="s">
        <v>100</v>
      </c>
      <c r="B23" t="s">
        <v>12</v>
      </c>
      <c r="C23">
        <v>2</v>
      </c>
      <c r="D23">
        <v>0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 x14ac:dyDescent="0.2">
      <c r="A24" t="s">
        <v>76</v>
      </c>
      <c r="B24" t="s">
        <v>38</v>
      </c>
      <c r="C24">
        <v>3</v>
      </c>
      <c r="D24">
        <v>0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 x14ac:dyDescent="0.2">
      <c r="A25" t="s">
        <v>40</v>
      </c>
      <c r="B25" t="s">
        <v>99</v>
      </c>
      <c r="C25">
        <v>4</v>
      </c>
      <c r="D25">
        <v>1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 x14ac:dyDescent="0.2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 x14ac:dyDescent="0.2">
      <c r="A27" t="s">
        <v>39</v>
      </c>
      <c r="B27" t="s">
        <v>12</v>
      </c>
      <c r="C27">
        <v>1</v>
      </c>
      <c r="D27">
        <v>3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 x14ac:dyDescent="0.2">
      <c r="B28" t="s">
        <v>38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 x14ac:dyDescent="0.2">
      <c r="A29" t="s">
        <v>100</v>
      </c>
      <c r="B29" t="s">
        <v>99</v>
      </c>
      <c r="C29">
        <v>3</v>
      </c>
      <c r="D29">
        <v>1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 x14ac:dyDescent="0.2">
      <c r="A30" t="s">
        <v>76</v>
      </c>
      <c r="B30" t="s">
        <v>40</v>
      </c>
      <c r="C30">
        <v>3</v>
      </c>
      <c r="D30">
        <v>1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 x14ac:dyDescent="0.2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 x14ac:dyDescent="0.2">
      <c r="A32" t="s">
        <v>39</v>
      </c>
      <c r="B32" t="s">
        <v>38</v>
      </c>
      <c r="C32">
        <v>0</v>
      </c>
      <c r="D32">
        <v>0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 x14ac:dyDescent="0.2">
      <c r="A33" t="s">
        <v>12</v>
      </c>
      <c r="B33" t="s">
        <v>99</v>
      </c>
      <c r="C33">
        <v>1</v>
      </c>
      <c r="D33">
        <v>2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 x14ac:dyDescent="0.2">
      <c r="B34" t="s">
        <v>40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 x14ac:dyDescent="0.2">
      <c r="A35" t="s">
        <v>100</v>
      </c>
      <c r="B35" t="s">
        <v>76</v>
      </c>
      <c r="C35">
        <v>0</v>
      </c>
      <c r="D35">
        <v>0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 x14ac:dyDescent="0.2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 x14ac:dyDescent="0.2">
      <c r="A37" t="s">
        <v>99</v>
      </c>
      <c r="B37" t="s">
        <v>39</v>
      </c>
      <c r="C37">
        <v>1</v>
      </c>
      <c r="D37">
        <v>4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 x14ac:dyDescent="0.2">
      <c r="A38" t="s">
        <v>40</v>
      </c>
      <c r="B38" t="s">
        <v>38</v>
      </c>
      <c r="C38">
        <v>2</v>
      </c>
      <c r="D38">
        <v>1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 x14ac:dyDescent="0.2">
      <c r="A39" t="s">
        <v>76</v>
      </c>
      <c r="B39" t="s">
        <v>12</v>
      </c>
      <c r="C39">
        <v>2</v>
      </c>
      <c r="D39">
        <v>3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 x14ac:dyDescent="0.2">
      <c r="A40" t="s">
        <v>100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 x14ac:dyDescent="0.2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 x14ac:dyDescent="0.2">
      <c r="A42" t="s">
        <v>40</v>
      </c>
      <c r="B42" t="s">
        <v>39</v>
      </c>
      <c r="C42">
        <v>1</v>
      </c>
      <c r="D42">
        <v>0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 x14ac:dyDescent="0.2">
      <c r="A43" t="s">
        <v>76</v>
      </c>
      <c r="B43" t="s">
        <v>99</v>
      </c>
      <c r="C43">
        <v>2</v>
      </c>
      <c r="D43">
        <v>1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 x14ac:dyDescent="0.2">
      <c r="A44" t="s">
        <v>100</v>
      </c>
      <c r="B44" t="s">
        <v>38</v>
      </c>
      <c r="C44">
        <v>1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 x14ac:dyDescent="0.2">
      <c r="B45" t="s">
        <v>12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 x14ac:dyDescent="0.2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 x14ac:dyDescent="0.2">
      <c r="A47" t="s">
        <v>76</v>
      </c>
      <c r="B47" t="s">
        <v>39</v>
      </c>
      <c r="C47">
        <v>1</v>
      </c>
      <c r="D47">
        <v>1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 x14ac:dyDescent="0.2">
      <c r="A48" t="s">
        <v>100</v>
      </c>
      <c r="B48" t="s">
        <v>40</v>
      </c>
      <c r="C48">
        <v>1</v>
      </c>
      <c r="D48">
        <v>1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 x14ac:dyDescent="0.2">
      <c r="B49" t="s">
        <v>99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 x14ac:dyDescent="0.2">
      <c r="A50" t="s">
        <v>12</v>
      </c>
      <c r="B50" t="s">
        <v>38</v>
      </c>
      <c r="C50">
        <v>0</v>
      </c>
      <c r="D50">
        <v>4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 x14ac:dyDescent="0.2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 x14ac:dyDescent="0.2">
      <c r="A52" t="s">
        <v>100</v>
      </c>
      <c r="B52" t="s">
        <v>39</v>
      </c>
      <c r="C52">
        <v>1</v>
      </c>
      <c r="D52">
        <v>2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 x14ac:dyDescent="0.2">
      <c r="B53" t="s">
        <v>76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 x14ac:dyDescent="0.2">
      <c r="A54" t="s">
        <v>12</v>
      </c>
      <c r="B54" t="s">
        <v>40</v>
      </c>
      <c r="C54">
        <v>1</v>
      </c>
      <c r="D54">
        <v>2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 x14ac:dyDescent="0.2">
      <c r="A55" t="s">
        <v>38</v>
      </c>
      <c r="B55" t="s">
        <v>99</v>
      </c>
      <c r="C55">
        <v>3</v>
      </c>
      <c r="D55">
        <v>0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 x14ac:dyDescent="0.2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 x14ac:dyDescent="0.2">
      <c r="B57" t="s">
        <v>39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 x14ac:dyDescent="0.2">
      <c r="A58" t="s">
        <v>12</v>
      </c>
      <c r="B58" t="s">
        <v>100</v>
      </c>
      <c r="C58">
        <v>1</v>
      </c>
      <c r="D58">
        <v>3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 x14ac:dyDescent="0.2">
      <c r="A59" t="s">
        <v>38</v>
      </c>
      <c r="B59" t="s">
        <v>76</v>
      </c>
      <c r="C59">
        <v>0</v>
      </c>
      <c r="D59">
        <v>3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 x14ac:dyDescent="0.2">
      <c r="A60" t="s">
        <v>99</v>
      </c>
      <c r="B60" t="s">
        <v>40</v>
      </c>
      <c r="C60">
        <v>0</v>
      </c>
      <c r="D60">
        <v>0</v>
      </c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 x14ac:dyDescent="0.2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 x14ac:dyDescent="0.2">
      <c r="A62" t="s">
        <v>12</v>
      </c>
      <c r="B62" t="s">
        <v>39</v>
      </c>
      <c r="C62">
        <v>0</v>
      </c>
      <c r="D62">
        <v>2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 x14ac:dyDescent="0.2">
      <c r="A63" t="s">
        <v>38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 x14ac:dyDescent="0.2">
      <c r="A64" t="s">
        <v>99</v>
      </c>
      <c r="B64" t="s">
        <v>100</v>
      </c>
      <c r="C64">
        <v>1</v>
      </c>
      <c r="D64">
        <v>3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 x14ac:dyDescent="0.2">
      <c r="A65" t="s">
        <v>40</v>
      </c>
      <c r="B65" t="s">
        <v>76</v>
      </c>
      <c r="C65">
        <v>0</v>
      </c>
      <c r="D65">
        <v>1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 x14ac:dyDescent="0.2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72" ca="1" si="1">F66&amp;G66</f>
        <v/>
      </c>
    </row>
    <row r="67" spans="1:8" x14ac:dyDescent="0.2">
      <c r="A67" t="s">
        <v>38</v>
      </c>
      <c r="B67" t="s">
        <v>39</v>
      </c>
      <c r="C67">
        <v>1</v>
      </c>
      <c r="D67">
        <v>1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 x14ac:dyDescent="0.2">
      <c r="A68" t="s">
        <v>99</v>
      </c>
      <c r="B68" t="s">
        <v>12</v>
      </c>
      <c r="C68">
        <v>2</v>
      </c>
      <c r="D68">
        <v>1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 x14ac:dyDescent="0.2">
      <c r="A69" t="s">
        <v>40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 x14ac:dyDescent="0.2">
      <c r="A70" t="s">
        <v>76</v>
      </c>
      <c r="B70" t="s">
        <v>100</v>
      </c>
      <c r="C70">
        <v>0</v>
      </c>
      <c r="D70">
        <v>0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 x14ac:dyDescent="0.2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 x14ac:dyDescent="0.2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 x14ac:dyDescent="0.2">
      <c r="H73" s="35" t="str">
        <f t="shared" ref="H73:H93" si="2">F73&amp;G73</f>
        <v/>
      </c>
    </row>
    <row r="74" spans="1:8" x14ac:dyDescent="0.2">
      <c r="H74" s="35" t="str">
        <f t="shared" si="2"/>
        <v/>
      </c>
    </row>
    <row r="75" spans="1:8" x14ac:dyDescent="0.2">
      <c r="H75" s="35" t="str">
        <f t="shared" si="2"/>
        <v/>
      </c>
    </row>
    <row r="76" spans="1:8" x14ac:dyDescent="0.2">
      <c r="H76" s="35" t="str">
        <f t="shared" si="2"/>
        <v/>
      </c>
    </row>
    <row r="77" spans="1:8" x14ac:dyDescent="0.2">
      <c r="H77" s="35" t="str">
        <f t="shared" si="2"/>
        <v/>
      </c>
    </row>
    <row r="78" spans="1:8" x14ac:dyDescent="0.2">
      <c r="H78" s="35" t="str">
        <f t="shared" si="2"/>
        <v/>
      </c>
    </row>
    <row r="79" spans="1:8" x14ac:dyDescent="0.2">
      <c r="H79" s="35" t="str">
        <f t="shared" si="2"/>
        <v/>
      </c>
    </row>
    <row r="80" spans="1:8" x14ac:dyDescent="0.2">
      <c r="H80" s="35" t="str">
        <f t="shared" si="2"/>
        <v/>
      </c>
    </row>
    <row r="81" spans="8:8" x14ac:dyDescent="0.2">
      <c r="H81" s="35" t="str">
        <f t="shared" si="2"/>
        <v/>
      </c>
    </row>
    <row r="82" spans="8:8" x14ac:dyDescent="0.2">
      <c r="H82" s="35" t="str">
        <f t="shared" si="2"/>
        <v/>
      </c>
    </row>
    <row r="83" spans="8:8" x14ac:dyDescent="0.2">
      <c r="H83" s="35" t="str">
        <f t="shared" si="2"/>
        <v/>
      </c>
    </row>
    <row r="84" spans="8:8" x14ac:dyDescent="0.2">
      <c r="H84" s="35" t="str">
        <f t="shared" si="2"/>
        <v/>
      </c>
    </row>
    <row r="85" spans="8:8" x14ac:dyDescent="0.2">
      <c r="H85" s="35" t="str">
        <f t="shared" si="2"/>
        <v/>
      </c>
    </row>
    <row r="86" spans="8:8" x14ac:dyDescent="0.2">
      <c r="H86" s="35" t="str">
        <f t="shared" si="2"/>
        <v/>
      </c>
    </row>
    <row r="87" spans="8:8" x14ac:dyDescent="0.2">
      <c r="H87" s="35" t="str">
        <f t="shared" si="2"/>
        <v/>
      </c>
    </row>
    <row r="88" spans="8:8" x14ac:dyDescent="0.2">
      <c r="H88" s="35" t="str">
        <f t="shared" si="2"/>
        <v/>
      </c>
    </row>
    <row r="89" spans="8:8" x14ac:dyDescent="0.2">
      <c r="H89" s="35" t="str">
        <f t="shared" si="2"/>
        <v/>
      </c>
    </row>
    <row r="90" spans="8:8" x14ac:dyDescent="0.2">
      <c r="H90" s="35" t="str">
        <f t="shared" si="2"/>
        <v/>
      </c>
    </row>
    <row r="91" spans="8:8" x14ac:dyDescent="0.2">
      <c r="H91" s="35" t="str">
        <f t="shared" si="2"/>
        <v/>
      </c>
    </row>
    <row r="92" spans="8:8" x14ac:dyDescent="0.2">
      <c r="H92" s="35" t="str">
        <f t="shared" si="2"/>
        <v/>
      </c>
    </row>
    <row r="93" spans="8:8" x14ac:dyDescent="0.2">
      <c r="H93" s="35" t="str">
        <f t="shared" si="2"/>
        <v/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H93"/>
  <sheetViews>
    <sheetView workbookViewId="0">
      <selection activeCell="E39" sqref="E39"/>
    </sheetView>
  </sheetViews>
  <sheetFormatPr baseColWidth="10" defaultColWidth="8.83203125" defaultRowHeight="15" x14ac:dyDescent="0.2"/>
  <cols>
    <col min="1" max="2" width="15.1640625" bestFit="1" customWidth="1"/>
    <col min="3" max="4" width="2.5" bestFit="1" customWidth="1"/>
    <col min="6" max="7" width="3.33203125" style="35" bestFit="1" customWidth="1"/>
    <col min="8" max="8" width="5.1640625" style="35" bestFit="1" customWidth="1"/>
  </cols>
  <sheetData>
    <row r="1" spans="1:8" x14ac:dyDescent="0.2">
      <c r="A1" s="4" t="s">
        <v>9</v>
      </c>
      <c r="C1" s="5" t="s">
        <v>2</v>
      </c>
      <c r="D1" s="5"/>
      <c r="E1" s="37" t="s">
        <v>62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 x14ac:dyDescent="0.2">
      <c r="A2" t="s">
        <v>113</v>
      </c>
      <c r="B2" t="s">
        <v>114</v>
      </c>
      <c r="C2">
        <v>1</v>
      </c>
      <c r="D2">
        <v>1</v>
      </c>
      <c r="F2" s="35" t="str">
        <f ca="1">IF(OR(OR($A2="",$B2=""),AND($C2&lt;&gt;"",$D2&lt;&gt;"")),"",VLOOKUP(A2,IF({1,0},INDIRECT("达修波得!$"&amp;$E$1&amp;"$2:$"&amp;$E$1&amp;"$8"),达修波得!$A$2:$A$8),2,FALSE))</f>
        <v/>
      </c>
      <c r="G2" s="35" t="str">
        <f ca="1">IF(OR(OR($A2="",$B2=""),AND($C2&lt;&gt;"",$D2&lt;&gt;"")),"",VLOOKUP(B2,IF({1,0},INDIRECT("达修波得!$"&amp;$E$1&amp;"$2:$"&amp;$E$1&amp;"$8"),达修波得!$A$2:$A$8),2,FALSE))</f>
        <v/>
      </c>
      <c r="H2" s="35" t="str">
        <f t="shared" ref="H2:H65" ca="1" si="0">F2&amp;G2</f>
        <v/>
      </c>
    </row>
    <row r="3" spans="1:8" x14ac:dyDescent="0.2">
      <c r="A3" t="s">
        <v>70</v>
      </c>
      <c r="B3" t="s">
        <v>105</v>
      </c>
      <c r="C3" s="54">
        <v>1</v>
      </c>
      <c r="D3" s="54">
        <v>0</v>
      </c>
      <c r="F3" s="35" t="str">
        <f ca="1">IF(OR(OR($A3="",$B3=""),AND($C3&lt;&gt;"",$D3&lt;&gt;"")),"",VLOOKUP(A3,IF({1,0},INDIRECT("达修波得!$"&amp;$E$1&amp;"$2:$"&amp;$E$1&amp;"$8"),达修波得!$A$2:$A$8),2,FALSE))</f>
        <v/>
      </c>
      <c r="G3" s="35" t="str">
        <f ca="1">IF(OR(OR($A3="",$B3=""),AND($C3&lt;&gt;"",$D3&lt;&gt;"")),"",VLOOKUP(B3,IF({1,0},INDIRECT("达修波得!$"&amp;$E$1&amp;"$2:$"&amp;$E$1&amp;"$8"),达修波得!$A$2:$A$8),2,FALSE))</f>
        <v/>
      </c>
      <c r="H3" s="35" t="str">
        <f t="shared" ca="1" si="0"/>
        <v/>
      </c>
    </row>
    <row r="4" spans="1:8" x14ac:dyDescent="0.2">
      <c r="B4" t="s">
        <v>115</v>
      </c>
      <c r="F4" s="35" t="str">
        <f ca="1">IF(OR(OR($A4="",$B4=""),AND($C4&lt;&gt;"",$D4&lt;&gt;"")),"",VLOOKUP(A4,IF({1,0},INDIRECT("达修波得!$"&amp;$E$1&amp;"$2:$"&amp;$E$1&amp;"$8"),达修波得!$A$2:$A$8),2,FALSE))</f>
        <v/>
      </c>
      <c r="G4" s="35" t="str">
        <f ca="1">IF(OR(OR($A4="",$B4=""),AND($C4&lt;&gt;"",$D4&lt;&gt;"")),"",VLOOKUP(B4,IF({1,0},INDIRECT("达修波得!$"&amp;$E$1&amp;"$2:$"&amp;$E$1&amp;"$8"),达修波得!$A$2:$A$8),2,FALSE))</f>
        <v/>
      </c>
      <c r="H4" s="35" t="str">
        <f t="shared" ca="1" si="0"/>
        <v/>
      </c>
    </row>
    <row r="5" spans="1:8" x14ac:dyDescent="0.2">
      <c r="A5" t="s">
        <v>116</v>
      </c>
      <c r="B5" t="s">
        <v>117</v>
      </c>
      <c r="C5">
        <v>4</v>
      </c>
      <c r="D5">
        <v>0</v>
      </c>
      <c r="F5" s="35" t="str">
        <f ca="1">IF(OR(OR($A5="",$B5=""),AND($C5&lt;&gt;"",$D5&lt;&gt;"")),"",VLOOKUP(A5,IF({1,0},INDIRECT("达修波得!$"&amp;$E$1&amp;"$2:$"&amp;$E$1&amp;"$8"),达修波得!$A$2:$A$8),2,FALSE))</f>
        <v/>
      </c>
      <c r="G5" s="35" t="str">
        <f ca="1">IF(OR(OR($A5="",$B5=""),AND($C5&lt;&gt;"",$D5&lt;&gt;"")),"",VLOOKUP(B5,IF({1,0},INDIRECT("达修波得!$"&amp;$E$1&amp;"$2:$"&amp;$E$1&amp;"$8"),达修波得!$A$2:$A$8),2,FALSE))</f>
        <v/>
      </c>
      <c r="H5" s="35" t="str">
        <f t="shared" ca="1" si="0"/>
        <v/>
      </c>
    </row>
    <row r="6" spans="1:8" x14ac:dyDescent="0.2">
      <c r="A6" s="4" t="s">
        <v>10</v>
      </c>
      <c r="F6" s="35" t="str">
        <f ca="1">IF(OR(OR($A6="",$B6=""),AND($C6&lt;&gt;"",$D6&lt;&gt;"")),"",VLOOKUP(A6,IF({1,0},INDIRECT("达修波得!$"&amp;$E$1&amp;"$2:$"&amp;$E$1&amp;"$8"),达修波得!$A$2:$A$8),2,FALSE))</f>
        <v/>
      </c>
      <c r="G6" s="35" t="str">
        <f ca="1">IF(OR(OR($A6="",$B6=""),AND($C6&lt;&gt;"",$D6&lt;&gt;"")),"",VLOOKUP(B6,IF({1,0},INDIRECT("达修波得!$"&amp;$E$1&amp;"$2:$"&amp;$E$1&amp;"$8"),达修波得!$A$2:$A$8),2,FALSE))</f>
        <v/>
      </c>
      <c r="H6" s="35" t="str">
        <f t="shared" ca="1" si="0"/>
        <v/>
      </c>
    </row>
    <row r="7" spans="1:8" x14ac:dyDescent="0.2">
      <c r="A7" t="s">
        <v>113</v>
      </c>
      <c r="B7" t="s">
        <v>105</v>
      </c>
      <c r="C7">
        <v>4</v>
      </c>
      <c r="D7">
        <v>1</v>
      </c>
      <c r="F7" s="35" t="str">
        <f ca="1">IF(OR(OR($A7="",$B7=""),AND($C7&lt;&gt;"",$D7&lt;&gt;"")),"",VLOOKUP(A7,IF({1,0},INDIRECT("达修波得!$"&amp;$E$1&amp;"$2:$"&amp;$E$1&amp;"$8"),达修波得!$A$2:$A$8),2,FALSE))</f>
        <v/>
      </c>
      <c r="G7" s="35" t="str">
        <f ca="1">IF(OR(OR($A7="",$B7=""),AND($C7&lt;&gt;"",$D7&lt;&gt;"")),"",VLOOKUP(B7,IF({1,0},INDIRECT("达修波得!$"&amp;$E$1&amp;"$2:$"&amp;$E$1&amp;"$8"),达修波得!$A$2:$A$8),2,FALSE))</f>
        <v/>
      </c>
      <c r="H7" s="35" t="str">
        <f t="shared" ca="1" si="0"/>
        <v/>
      </c>
    </row>
    <row r="8" spans="1:8" x14ac:dyDescent="0.2">
      <c r="A8" t="s">
        <v>114</v>
      </c>
      <c r="B8" t="s">
        <v>115</v>
      </c>
      <c r="C8">
        <v>0</v>
      </c>
      <c r="D8">
        <v>1</v>
      </c>
      <c r="F8" s="35" t="str">
        <f ca="1">IF(OR(OR($A8="",$B8=""),AND($C8&lt;&gt;"",$D8&lt;&gt;"")),"",VLOOKUP(A8,IF({1,0},INDIRECT("达修波得!$"&amp;$E$1&amp;"$2:$"&amp;$E$1&amp;"$8"),达修波得!$A$2:$A$8),2,FALSE))</f>
        <v/>
      </c>
      <c r="G8" s="35" t="str">
        <f ca="1">IF(OR(OR($A8="",$B8=""),AND($C8&lt;&gt;"",$D8&lt;&gt;"")),"",VLOOKUP(B8,IF({1,0},INDIRECT("达修波得!$"&amp;$E$1&amp;"$2:$"&amp;$E$1&amp;"$8"),达修波得!$A$2:$A$8),2,FALSE))</f>
        <v/>
      </c>
      <c r="H8" s="35" t="str">
        <f t="shared" ca="1" si="0"/>
        <v/>
      </c>
    </row>
    <row r="9" spans="1:8" x14ac:dyDescent="0.2">
      <c r="A9" t="s">
        <v>70</v>
      </c>
      <c r="B9" t="s">
        <v>117</v>
      </c>
      <c r="C9">
        <v>0</v>
      </c>
      <c r="D9">
        <v>2</v>
      </c>
      <c r="F9" s="35" t="str">
        <f ca="1">IF(OR(OR($A9="",$B9=""),AND($C9&lt;&gt;"",$D9&lt;&gt;"")),"",VLOOKUP(A9,IF({1,0},INDIRECT("达修波得!$"&amp;$E$1&amp;"$2:$"&amp;$E$1&amp;"$8"),达修波得!$A$2:$A$8),2,FALSE))</f>
        <v/>
      </c>
      <c r="G9" s="35" t="str">
        <f ca="1">IF(OR(OR($A9="",$B9=""),AND($C9&lt;&gt;"",$D9&lt;&gt;"")),"",VLOOKUP(B9,IF({1,0},INDIRECT("达修波得!$"&amp;$E$1&amp;"$2:$"&amp;$E$1&amp;"$8"),达修波得!$A$2:$A$8),2,FALSE))</f>
        <v/>
      </c>
      <c r="H9" s="35" t="str">
        <f t="shared" ca="1" si="0"/>
        <v/>
      </c>
    </row>
    <row r="10" spans="1:8" x14ac:dyDescent="0.2">
      <c r="B10" t="s">
        <v>116</v>
      </c>
      <c r="F10" s="35" t="str">
        <f ca="1">IF(OR(OR($A10="",$B10=""),AND($C10&lt;&gt;"",$D10&lt;&gt;"")),"",VLOOKUP(A10,IF({1,0},INDIRECT("达修波得!$"&amp;$E$1&amp;"$2:$"&amp;$E$1&amp;"$8"),达修波得!$A$2:$A$8),2,FALSE))</f>
        <v/>
      </c>
      <c r="G10" s="35" t="str">
        <f ca="1">IF(OR(OR($A10="",$B10=""),AND($C10&lt;&gt;"",$D10&lt;&gt;"")),"",VLOOKUP(B10,IF({1,0},INDIRECT("达修波得!$"&amp;$E$1&amp;"$2:$"&amp;$E$1&amp;"$8"),达修波得!$A$2:$A$8),2,FALSE))</f>
        <v/>
      </c>
      <c r="H10" s="35" t="str">
        <f t="shared" ca="1" si="0"/>
        <v/>
      </c>
    </row>
    <row r="11" spans="1:8" x14ac:dyDescent="0.2">
      <c r="A11" s="4" t="s">
        <v>11</v>
      </c>
      <c r="F11" s="35" t="str">
        <f ca="1">IF(OR(OR($A11="",$B11=""),AND($C11&lt;&gt;"",$D11&lt;&gt;"")),"",VLOOKUP(A11,IF({1,0},INDIRECT("达修波得!$"&amp;$E$1&amp;"$2:$"&amp;$E$1&amp;"$8"),达修波得!$A$2:$A$8),2,FALSE))</f>
        <v/>
      </c>
      <c r="G11" s="35" t="str">
        <f ca="1">IF(OR(OR($A11="",$B11=""),AND($C11&lt;&gt;"",$D11&lt;&gt;"")),"",VLOOKUP(B11,IF({1,0},INDIRECT("达修波得!$"&amp;$E$1&amp;"$2:$"&amp;$E$1&amp;"$8"),达修波得!$A$2:$A$8),2,FALSE))</f>
        <v/>
      </c>
      <c r="H11" s="35" t="str">
        <f t="shared" ca="1" si="0"/>
        <v/>
      </c>
    </row>
    <row r="12" spans="1:8" x14ac:dyDescent="0.2">
      <c r="A12" t="s">
        <v>113</v>
      </c>
      <c r="B12" t="s">
        <v>115</v>
      </c>
      <c r="C12">
        <v>5</v>
      </c>
      <c r="D12">
        <v>0</v>
      </c>
      <c r="F12" s="35" t="str">
        <f ca="1">IF(OR(OR($A12="",$B12=""),AND($C12&lt;&gt;"",$D12&lt;&gt;"")),"",VLOOKUP(A12,IF({1,0},INDIRECT("达修波得!$"&amp;$E$1&amp;"$2:$"&amp;$E$1&amp;"$8"),达修波得!$A$2:$A$8),2,FALSE))</f>
        <v/>
      </c>
      <c r="G12" s="35" t="str">
        <f ca="1">IF(OR(OR($A12="",$B12=""),AND($C12&lt;&gt;"",$D12&lt;&gt;"")),"",VLOOKUP(B12,IF({1,0},INDIRECT("达修波得!$"&amp;$E$1&amp;"$2:$"&amp;$E$1&amp;"$8"),达修波得!$A$2:$A$8),2,FALSE))</f>
        <v/>
      </c>
      <c r="H12" s="35" t="str">
        <f t="shared" ca="1" si="0"/>
        <v/>
      </c>
    </row>
    <row r="13" spans="1:8" x14ac:dyDescent="0.2">
      <c r="A13" t="s">
        <v>105</v>
      </c>
      <c r="B13" t="s">
        <v>117</v>
      </c>
      <c r="C13">
        <v>2</v>
      </c>
      <c r="D13">
        <v>1</v>
      </c>
      <c r="F13" s="35" t="str">
        <f ca="1">IF(OR(OR($A13="",$B13=""),AND($C13&lt;&gt;"",$D13&lt;&gt;"")),"",VLOOKUP(A13,IF({1,0},INDIRECT("达修波得!$"&amp;$E$1&amp;"$2:$"&amp;$E$1&amp;"$8"),达修波得!$A$2:$A$8),2,FALSE))</f>
        <v/>
      </c>
      <c r="G13" s="35" t="str">
        <f ca="1">IF(OR(OR($A13="",$B13=""),AND($C13&lt;&gt;"",$D13&lt;&gt;"")),"",VLOOKUP(B13,IF({1,0},INDIRECT("达修波得!$"&amp;$E$1&amp;"$2:$"&amp;$E$1&amp;"$8"),达修波得!$A$2:$A$8),2,FALSE))</f>
        <v/>
      </c>
      <c r="H13" s="35" t="str">
        <f t="shared" ca="1" si="0"/>
        <v/>
      </c>
    </row>
    <row r="14" spans="1:8" x14ac:dyDescent="0.2">
      <c r="A14" t="s">
        <v>114</v>
      </c>
      <c r="B14" t="s">
        <v>116</v>
      </c>
      <c r="C14">
        <v>1</v>
      </c>
      <c r="D14">
        <v>1</v>
      </c>
      <c r="F14" s="35" t="str">
        <f ca="1">IF(OR(OR($A14="",$B14=""),AND($C14&lt;&gt;"",$D14&lt;&gt;"")),"",VLOOKUP(A14,IF({1,0},INDIRECT("达修波得!$"&amp;$E$1&amp;"$2:$"&amp;$E$1&amp;"$8"),达修波得!$A$2:$A$8),2,FALSE))</f>
        <v/>
      </c>
      <c r="G14" s="35" t="str">
        <f ca="1">IF(OR(OR($A14="",$B14=""),AND($C14&lt;&gt;"",$D14&lt;&gt;"")),"",VLOOKUP(B14,IF({1,0},INDIRECT("达修波得!$"&amp;$E$1&amp;"$2:$"&amp;$E$1&amp;"$8"),达修波得!$A$2:$A$8),2,FALSE))</f>
        <v/>
      </c>
      <c r="H14" s="35" t="str">
        <f t="shared" ca="1" si="0"/>
        <v/>
      </c>
    </row>
    <row r="15" spans="1:8" x14ac:dyDescent="0.2">
      <c r="A15" t="s">
        <v>70</v>
      </c>
      <c r="F15" s="35" t="str">
        <f ca="1">IF(OR(OR($A15="",$B15=""),AND($C15&lt;&gt;"",$D15&lt;&gt;"")),"",VLOOKUP(A15,IF({1,0},INDIRECT("达修波得!$"&amp;$E$1&amp;"$2:$"&amp;$E$1&amp;"$8"),达修波得!$A$2:$A$8),2,FALSE))</f>
        <v/>
      </c>
      <c r="G15" s="35" t="str">
        <f ca="1">IF(OR(OR($A15="",$B15=""),AND($C15&lt;&gt;"",$D15&lt;&gt;"")),"",VLOOKUP(B15,IF({1,0},INDIRECT("达修波得!$"&amp;$E$1&amp;"$2:$"&amp;$E$1&amp;"$8"),达修波得!$A$2:$A$8),2,FALSE))</f>
        <v/>
      </c>
      <c r="H15" s="35" t="str">
        <f t="shared" ca="1" si="0"/>
        <v/>
      </c>
    </row>
    <row r="16" spans="1:8" x14ac:dyDescent="0.2">
      <c r="A16" s="4" t="s">
        <v>15</v>
      </c>
      <c r="F16" s="35" t="str">
        <f ca="1">IF(OR(OR($A16="",$B16=""),AND($C16&lt;&gt;"",$D16&lt;&gt;"")),"",VLOOKUP(A16,IF({1,0},INDIRECT("达修波得!$"&amp;$E$1&amp;"$2:$"&amp;$E$1&amp;"$8"),达修波得!$A$2:$A$8),2,FALSE))</f>
        <v/>
      </c>
      <c r="G16" s="35" t="str">
        <f ca="1">IF(OR(OR($A16="",$B16=""),AND($C16&lt;&gt;"",$D16&lt;&gt;"")),"",VLOOKUP(B16,IF({1,0},INDIRECT("达修波得!$"&amp;$E$1&amp;"$2:$"&amp;$E$1&amp;"$8"),达修波得!$A$2:$A$8),2,FALSE))</f>
        <v/>
      </c>
      <c r="H16" s="35" t="str">
        <f t="shared" ca="1" si="0"/>
        <v/>
      </c>
    </row>
    <row r="17" spans="1:8" x14ac:dyDescent="0.2">
      <c r="A17" t="s">
        <v>113</v>
      </c>
      <c r="B17" t="s">
        <v>117</v>
      </c>
      <c r="C17">
        <v>0</v>
      </c>
      <c r="D17">
        <v>1</v>
      </c>
      <c r="F17" s="35" t="str">
        <f ca="1">IF(OR(OR($A17="",$B17=""),AND($C17&lt;&gt;"",$D17&lt;&gt;"")),"",VLOOKUP(A17,IF({1,0},INDIRECT("达修波得!$"&amp;$E$1&amp;"$2:$"&amp;$E$1&amp;"$8"),达修波得!$A$2:$A$8),2,FALSE))</f>
        <v/>
      </c>
      <c r="G17" s="35" t="str">
        <f ca="1">IF(OR(OR($A17="",$B17=""),AND($C17&lt;&gt;"",$D17&lt;&gt;"")),"",VLOOKUP(B17,IF({1,0},INDIRECT("达修波得!$"&amp;$E$1&amp;"$2:$"&amp;$E$1&amp;"$8"),达修波得!$A$2:$A$8),2,FALSE))</f>
        <v/>
      </c>
      <c r="H17" s="35" t="str">
        <f t="shared" ca="1" si="0"/>
        <v/>
      </c>
    </row>
    <row r="18" spans="1:8" x14ac:dyDescent="0.2">
      <c r="A18" t="s">
        <v>115</v>
      </c>
      <c r="B18" t="s">
        <v>116</v>
      </c>
      <c r="C18">
        <v>0</v>
      </c>
      <c r="D18">
        <v>1</v>
      </c>
      <c r="F18" s="35" t="str">
        <f ca="1">IF(OR(OR($A18="",$B18=""),AND($C18&lt;&gt;"",$D18&lt;&gt;"")),"",VLOOKUP(A18,IF({1,0},INDIRECT("达修波得!$"&amp;$E$1&amp;"$2:$"&amp;$E$1&amp;"$8"),达修波得!$A$2:$A$8),2,FALSE))</f>
        <v/>
      </c>
      <c r="G18" s="35" t="str">
        <f ca="1">IF(OR(OR($A18="",$B18=""),AND($C18&lt;&gt;"",$D18&lt;&gt;"")),"",VLOOKUP(B18,IF({1,0},INDIRECT("达修波得!$"&amp;$E$1&amp;"$2:$"&amp;$E$1&amp;"$8"),达修波得!$A$2:$A$8),2,FALSE))</f>
        <v/>
      </c>
      <c r="H18" s="35" t="str">
        <f t="shared" ca="1" si="0"/>
        <v/>
      </c>
    </row>
    <row r="19" spans="1:8" x14ac:dyDescent="0.2">
      <c r="A19" t="s">
        <v>105</v>
      </c>
      <c r="F19" s="35" t="str">
        <f ca="1">IF(OR(OR($A19="",$B19=""),AND($C19&lt;&gt;"",$D19&lt;&gt;"")),"",VLOOKUP(A19,IF({1,0},INDIRECT("达修波得!$"&amp;$E$1&amp;"$2:$"&amp;$E$1&amp;"$8"),达修波得!$A$2:$A$8),2,FALSE))</f>
        <v/>
      </c>
      <c r="G19" s="35" t="str">
        <f ca="1">IF(OR(OR($A19="",$B19=""),AND($C19&lt;&gt;"",$D19&lt;&gt;"")),"",VLOOKUP(B19,IF({1,0},INDIRECT("达修波得!$"&amp;$E$1&amp;"$2:$"&amp;$E$1&amp;"$8"),达修波得!$A$2:$A$8),2,FALSE))</f>
        <v/>
      </c>
      <c r="H19" s="35" t="str">
        <f t="shared" ca="1" si="0"/>
        <v/>
      </c>
    </row>
    <row r="20" spans="1:8" x14ac:dyDescent="0.2">
      <c r="A20" t="s">
        <v>114</v>
      </c>
      <c r="B20" t="s">
        <v>70</v>
      </c>
      <c r="C20">
        <v>3</v>
      </c>
      <c r="D20">
        <v>0</v>
      </c>
      <c r="F20" s="35" t="str">
        <f ca="1">IF(OR(OR($A20="",$B20=""),AND($C20&lt;&gt;"",$D20&lt;&gt;"")),"",VLOOKUP(A20,IF({1,0},INDIRECT("达修波得!$"&amp;$E$1&amp;"$2:$"&amp;$E$1&amp;"$8"),达修波得!$A$2:$A$8),2,FALSE))</f>
        <v/>
      </c>
      <c r="G20" s="35" t="str">
        <f ca="1">IF(OR(OR($A20="",$B20=""),AND($C20&lt;&gt;"",$D20&lt;&gt;"")),"",VLOOKUP(B20,IF({1,0},INDIRECT("达修波得!$"&amp;$E$1&amp;"$2:$"&amp;$E$1&amp;"$8"),达修波得!$A$2:$A$8),2,FALSE))</f>
        <v/>
      </c>
      <c r="H20" s="35" t="str">
        <f t="shared" ca="1" si="0"/>
        <v/>
      </c>
    </row>
    <row r="21" spans="1:8" x14ac:dyDescent="0.2">
      <c r="A21" s="4" t="s">
        <v>16</v>
      </c>
      <c r="F21" s="35" t="str">
        <f ca="1">IF(OR(OR($A21="",$B21=""),AND($C21&lt;&gt;"",$D21&lt;&gt;"")),"",VLOOKUP(A21,IF({1,0},INDIRECT("达修波得!$"&amp;$E$1&amp;"$2:$"&amp;$E$1&amp;"$8"),达修波得!$A$2:$A$8),2,FALSE))</f>
        <v/>
      </c>
      <c r="G21" s="35" t="str">
        <f ca="1">IF(OR(OR($A21="",$B21=""),AND($C21&lt;&gt;"",$D21&lt;&gt;"")),"",VLOOKUP(B21,IF({1,0},INDIRECT("达修波得!$"&amp;$E$1&amp;"$2:$"&amp;$E$1&amp;"$8"),达修波得!$A$2:$A$8),2,FALSE))</f>
        <v/>
      </c>
      <c r="H21" s="35" t="str">
        <f t="shared" ca="1" si="0"/>
        <v/>
      </c>
    </row>
    <row r="22" spans="1:8" x14ac:dyDescent="0.2">
      <c r="A22" t="s">
        <v>113</v>
      </c>
      <c r="B22" t="s">
        <v>116</v>
      </c>
      <c r="C22">
        <v>2</v>
      </c>
      <c r="D22">
        <v>1</v>
      </c>
      <c r="F22" s="35" t="str">
        <f ca="1">IF(OR(OR($A22="",$B22=""),AND($C22&lt;&gt;"",$D22&lt;&gt;"")),"",VLOOKUP(A22,IF({1,0},INDIRECT("达修波得!$"&amp;$E$1&amp;"$2:$"&amp;$E$1&amp;"$8"),达修波得!$A$2:$A$8),2,FALSE))</f>
        <v/>
      </c>
      <c r="G22" s="35" t="str">
        <f ca="1">IF(OR(OR($A22="",$B22=""),AND($C22&lt;&gt;"",$D22&lt;&gt;"")),"",VLOOKUP(B22,IF({1,0},INDIRECT("达修波得!$"&amp;$E$1&amp;"$2:$"&amp;$E$1&amp;"$8"),达修波得!$A$2:$A$8),2,FALSE))</f>
        <v/>
      </c>
      <c r="H22" s="35" t="str">
        <f t="shared" ca="1" si="0"/>
        <v/>
      </c>
    </row>
    <row r="23" spans="1:8" x14ac:dyDescent="0.2">
      <c r="A23" t="s">
        <v>117</v>
      </c>
      <c r="F23" s="35" t="str">
        <f ca="1">IF(OR(OR($A23="",$B23=""),AND($C23&lt;&gt;"",$D23&lt;&gt;"")),"",VLOOKUP(A23,IF({1,0},INDIRECT("达修波得!$"&amp;$E$1&amp;"$2:$"&amp;$E$1&amp;"$8"),达修波得!$A$2:$A$8),2,FALSE))</f>
        <v/>
      </c>
      <c r="G23" s="35" t="str">
        <f ca="1">IF(OR(OR($A23="",$B23=""),AND($C23&lt;&gt;"",$D23&lt;&gt;"")),"",VLOOKUP(B23,IF({1,0},INDIRECT("达修波得!$"&amp;$E$1&amp;"$2:$"&amp;$E$1&amp;"$8"),达修波得!$A$2:$A$8),2,FALSE))</f>
        <v/>
      </c>
      <c r="H23" s="35" t="str">
        <f t="shared" ca="1" si="0"/>
        <v/>
      </c>
    </row>
    <row r="24" spans="1:8" x14ac:dyDescent="0.2">
      <c r="A24" t="s">
        <v>115</v>
      </c>
      <c r="B24" t="s">
        <v>70</v>
      </c>
      <c r="C24">
        <v>1</v>
      </c>
      <c r="D24">
        <v>2</v>
      </c>
      <c r="F24" s="35" t="str">
        <f ca="1">IF(OR(OR($A24="",$B24=""),AND($C24&lt;&gt;"",$D24&lt;&gt;"")),"",VLOOKUP(A24,IF({1,0},INDIRECT("达修波得!$"&amp;$E$1&amp;"$2:$"&amp;$E$1&amp;"$8"),达修波得!$A$2:$A$8),2,FALSE))</f>
        <v/>
      </c>
      <c r="G24" s="35" t="str">
        <f ca="1">IF(OR(OR($A24="",$B24=""),AND($C24&lt;&gt;"",$D24&lt;&gt;"")),"",VLOOKUP(B24,IF({1,0},INDIRECT("达修波得!$"&amp;$E$1&amp;"$2:$"&amp;$E$1&amp;"$8"),达修波得!$A$2:$A$8),2,FALSE))</f>
        <v/>
      </c>
      <c r="H24" s="35" t="str">
        <f t="shared" ca="1" si="0"/>
        <v/>
      </c>
    </row>
    <row r="25" spans="1:8" x14ac:dyDescent="0.2">
      <c r="A25" t="s">
        <v>105</v>
      </c>
      <c r="B25" t="s">
        <v>114</v>
      </c>
      <c r="C25">
        <v>0</v>
      </c>
      <c r="D25">
        <v>4</v>
      </c>
      <c r="F25" s="35" t="str">
        <f ca="1">IF(OR(OR($A25="",$B25=""),AND($C25&lt;&gt;"",$D25&lt;&gt;"")),"",VLOOKUP(A25,IF({1,0},INDIRECT("达修波得!$"&amp;$E$1&amp;"$2:$"&amp;$E$1&amp;"$8"),达修波得!$A$2:$A$8),2,FALSE))</f>
        <v/>
      </c>
      <c r="G25" s="35" t="str">
        <f ca="1">IF(OR(OR($A25="",$B25=""),AND($C25&lt;&gt;"",$D25&lt;&gt;"")),"",VLOOKUP(B25,IF({1,0},INDIRECT("达修波得!$"&amp;$E$1&amp;"$2:$"&amp;$E$1&amp;"$8"),达修波得!$A$2:$A$8),2,FALSE))</f>
        <v/>
      </c>
      <c r="H25" s="35" t="str">
        <f t="shared" ca="1" si="0"/>
        <v/>
      </c>
    </row>
    <row r="26" spans="1:8" x14ac:dyDescent="0.2">
      <c r="A26" s="4" t="s">
        <v>17</v>
      </c>
      <c r="F26" s="35" t="str">
        <f ca="1">IF(OR(OR($A26="",$B26=""),AND($C26&lt;&gt;"",$D26&lt;&gt;"")),"",VLOOKUP(A26,IF({1,0},INDIRECT("达修波得!$"&amp;$E$1&amp;"$2:$"&amp;$E$1&amp;"$8"),达修波得!$A$2:$A$8),2,FALSE))</f>
        <v/>
      </c>
      <c r="G26" s="35" t="str">
        <f ca="1">IF(OR(OR($A26="",$B26=""),AND($C26&lt;&gt;"",$D26&lt;&gt;"")),"",VLOOKUP(B26,IF({1,0},INDIRECT("达修波得!$"&amp;$E$1&amp;"$2:$"&amp;$E$1&amp;"$8"),达修波得!$A$2:$A$8),2,FALSE))</f>
        <v/>
      </c>
      <c r="H26" s="35" t="str">
        <f t="shared" ca="1" si="0"/>
        <v/>
      </c>
    </row>
    <row r="27" spans="1:8" x14ac:dyDescent="0.2">
      <c r="A27" t="s">
        <v>113</v>
      </c>
      <c r="F27" s="35" t="str">
        <f ca="1">IF(OR(OR($A27="",$B27=""),AND($C27&lt;&gt;"",$D27&lt;&gt;"")),"",VLOOKUP(A27,IF({1,0},INDIRECT("达修波得!$"&amp;$E$1&amp;"$2:$"&amp;$E$1&amp;"$8"),达修波得!$A$2:$A$8),2,FALSE))</f>
        <v/>
      </c>
      <c r="G27" s="35" t="str">
        <f ca="1">IF(OR(OR($A27="",$B27=""),AND($C27&lt;&gt;"",$D27&lt;&gt;"")),"",VLOOKUP(B27,IF({1,0},INDIRECT("达修波得!$"&amp;$E$1&amp;"$2:$"&amp;$E$1&amp;"$8"),达修波得!$A$2:$A$8),2,FALSE))</f>
        <v/>
      </c>
      <c r="H27" s="35" t="str">
        <f t="shared" ca="1" si="0"/>
        <v/>
      </c>
    </row>
    <row r="28" spans="1:8" x14ac:dyDescent="0.2">
      <c r="A28" t="s">
        <v>116</v>
      </c>
      <c r="B28" t="s">
        <v>70</v>
      </c>
      <c r="C28">
        <v>2</v>
      </c>
      <c r="D28">
        <v>0</v>
      </c>
      <c r="F28" s="35" t="str">
        <f ca="1">IF(OR(OR($A28="",$B28=""),AND($C28&lt;&gt;"",$D28&lt;&gt;"")),"",VLOOKUP(A28,IF({1,0},INDIRECT("达修波得!$"&amp;$E$1&amp;"$2:$"&amp;$E$1&amp;"$8"),达修波得!$A$2:$A$8),2,FALSE))</f>
        <v/>
      </c>
      <c r="G28" s="35" t="str">
        <f ca="1">IF(OR(OR($A28="",$B28=""),AND($C28&lt;&gt;"",$D28&lt;&gt;"")),"",VLOOKUP(B28,IF({1,0},INDIRECT("达修波得!$"&amp;$E$1&amp;"$2:$"&amp;$E$1&amp;"$8"),达修波得!$A$2:$A$8),2,FALSE))</f>
        <v/>
      </c>
      <c r="H28" s="35" t="str">
        <f t="shared" ca="1" si="0"/>
        <v/>
      </c>
    </row>
    <row r="29" spans="1:8" x14ac:dyDescent="0.2">
      <c r="A29" t="s">
        <v>117</v>
      </c>
      <c r="B29" t="s">
        <v>114</v>
      </c>
      <c r="C29">
        <v>1</v>
      </c>
      <c r="D29">
        <v>1</v>
      </c>
      <c r="F29" s="35" t="str">
        <f ca="1">IF(OR(OR($A29="",$B29=""),AND($C29&lt;&gt;"",$D29&lt;&gt;"")),"",VLOOKUP(A29,IF({1,0},INDIRECT("达修波得!$"&amp;$E$1&amp;"$2:$"&amp;$E$1&amp;"$8"),达修波得!$A$2:$A$8),2,FALSE))</f>
        <v/>
      </c>
      <c r="G29" s="35" t="str">
        <f ca="1">IF(OR(OR($A29="",$B29=""),AND($C29&lt;&gt;"",$D29&lt;&gt;"")),"",VLOOKUP(B29,IF({1,0},INDIRECT("达修波得!$"&amp;$E$1&amp;"$2:$"&amp;$E$1&amp;"$8"),达修波得!$A$2:$A$8),2,FALSE))</f>
        <v/>
      </c>
      <c r="H29" s="35" t="str">
        <f t="shared" ca="1" si="0"/>
        <v/>
      </c>
    </row>
    <row r="30" spans="1:8" x14ac:dyDescent="0.2">
      <c r="A30" t="s">
        <v>115</v>
      </c>
      <c r="B30" t="s">
        <v>105</v>
      </c>
      <c r="C30">
        <v>2</v>
      </c>
      <c r="D30">
        <v>0</v>
      </c>
      <c r="F30" s="35" t="str">
        <f ca="1">IF(OR(OR($A30="",$B30=""),AND($C30&lt;&gt;"",$D30&lt;&gt;"")),"",VLOOKUP(A30,IF({1,0},INDIRECT("达修波得!$"&amp;$E$1&amp;"$2:$"&amp;$E$1&amp;"$8"),达修波得!$A$2:$A$8),2,FALSE))</f>
        <v/>
      </c>
      <c r="G30" s="35" t="str">
        <f ca="1">IF(OR(OR($A30="",$B30=""),AND($C30&lt;&gt;"",$D30&lt;&gt;"")),"",VLOOKUP(B30,IF({1,0},INDIRECT("达修波得!$"&amp;$E$1&amp;"$2:$"&amp;$E$1&amp;"$8"),达修波得!$A$2:$A$8),2,FALSE))</f>
        <v/>
      </c>
      <c r="H30" s="35" t="str">
        <f t="shared" ca="1" si="0"/>
        <v/>
      </c>
    </row>
    <row r="31" spans="1:8" x14ac:dyDescent="0.2">
      <c r="A31" s="4" t="s">
        <v>18</v>
      </c>
      <c r="F31" s="35" t="str">
        <f ca="1">IF(OR(OR($A31="",$B31=""),AND($C31&lt;&gt;"",$D31&lt;&gt;"")),"",VLOOKUP(A31,IF({1,0},INDIRECT("达修波得!$"&amp;$E$1&amp;"$2:$"&amp;$E$1&amp;"$8"),达修波得!$A$2:$A$8),2,FALSE))</f>
        <v/>
      </c>
      <c r="G31" s="35" t="str">
        <f ca="1">IF(OR(OR($A31="",$B31=""),AND($C31&lt;&gt;"",$D31&lt;&gt;"")),"",VLOOKUP(B31,IF({1,0},INDIRECT("达修波得!$"&amp;$E$1&amp;"$2:$"&amp;$E$1&amp;"$8"),达修波得!$A$2:$A$8),2,FALSE))</f>
        <v/>
      </c>
      <c r="H31" s="35" t="str">
        <f t="shared" ca="1" si="0"/>
        <v/>
      </c>
    </row>
    <row r="32" spans="1:8" x14ac:dyDescent="0.2">
      <c r="A32" t="s">
        <v>113</v>
      </c>
      <c r="B32" t="s">
        <v>70</v>
      </c>
      <c r="C32">
        <v>0</v>
      </c>
      <c r="D32">
        <v>1</v>
      </c>
      <c r="F32" s="35" t="str">
        <f ca="1">IF(OR(OR($A32="",$B32=""),AND($C32&lt;&gt;"",$D32&lt;&gt;"")),"",VLOOKUP(A32,IF({1,0},INDIRECT("达修波得!$"&amp;$E$1&amp;"$2:$"&amp;$E$1&amp;"$8"),达修波得!$A$2:$A$8),2,FALSE))</f>
        <v/>
      </c>
      <c r="G32" s="35" t="str">
        <f ca="1">IF(OR(OR($A32="",$B32=""),AND($C32&lt;&gt;"",$D32&lt;&gt;"")),"",VLOOKUP(B32,IF({1,0},INDIRECT("达修波得!$"&amp;$E$1&amp;"$2:$"&amp;$E$1&amp;"$8"),达修波得!$A$2:$A$8),2,FALSE))</f>
        <v/>
      </c>
      <c r="H32" s="35" t="str">
        <f t="shared" ca="1" si="0"/>
        <v/>
      </c>
    </row>
    <row r="33" spans="1:8" x14ac:dyDescent="0.2">
      <c r="B33" t="s">
        <v>114</v>
      </c>
      <c r="F33" s="35" t="str">
        <f ca="1">IF(OR(OR($A33="",$B33=""),AND($C33&lt;&gt;"",$D33&lt;&gt;"")),"",VLOOKUP(A33,IF({1,0},INDIRECT("达修波得!$"&amp;$E$1&amp;"$2:$"&amp;$E$1&amp;"$8"),达修波得!$A$2:$A$8),2,FALSE))</f>
        <v/>
      </c>
      <c r="G33" s="35" t="str">
        <f ca="1">IF(OR(OR($A33="",$B33=""),AND($C33&lt;&gt;"",$D33&lt;&gt;"")),"",VLOOKUP(B33,IF({1,0},INDIRECT("达修波得!$"&amp;$E$1&amp;"$2:$"&amp;$E$1&amp;"$8"),达修波得!$A$2:$A$8),2,FALSE))</f>
        <v/>
      </c>
      <c r="H33" s="35" t="str">
        <f t="shared" ca="1" si="0"/>
        <v/>
      </c>
    </row>
    <row r="34" spans="1:8" x14ac:dyDescent="0.2">
      <c r="A34" t="s">
        <v>116</v>
      </c>
      <c r="B34" t="s">
        <v>105</v>
      </c>
      <c r="C34">
        <v>3</v>
      </c>
      <c r="D34">
        <v>2</v>
      </c>
      <c r="F34" s="35" t="str">
        <f ca="1">IF(OR(OR($A34="",$B34=""),AND($C34&lt;&gt;"",$D34&lt;&gt;"")),"",VLOOKUP(A34,IF({1,0},INDIRECT("达修波得!$"&amp;$E$1&amp;"$2:$"&amp;$E$1&amp;"$8"),达修波得!$A$2:$A$8),2,FALSE))</f>
        <v/>
      </c>
      <c r="G34" s="35" t="str">
        <f ca="1">IF(OR(OR($A34="",$B34=""),AND($C34&lt;&gt;"",$D34&lt;&gt;"")),"",VLOOKUP(B34,IF({1,0},INDIRECT("达修波得!$"&amp;$E$1&amp;"$2:$"&amp;$E$1&amp;"$8"),达修波得!$A$2:$A$8),2,FALSE))</f>
        <v/>
      </c>
      <c r="H34" s="35" t="str">
        <f t="shared" ca="1" si="0"/>
        <v/>
      </c>
    </row>
    <row r="35" spans="1:8" x14ac:dyDescent="0.2">
      <c r="A35" t="s">
        <v>117</v>
      </c>
      <c r="B35" t="s">
        <v>115</v>
      </c>
      <c r="C35">
        <v>0</v>
      </c>
      <c r="D35">
        <v>2</v>
      </c>
      <c r="F35" s="35" t="str">
        <f ca="1">IF(OR(OR($A35="",$B35=""),AND($C35&lt;&gt;"",$D35&lt;&gt;"")),"",VLOOKUP(A35,IF({1,0},INDIRECT("达修波得!$"&amp;$E$1&amp;"$2:$"&amp;$E$1&amp;"$8"),达修波得!$A$2:$A$8),2,FALSE))</f>
        <v/>
      </c>
      <c r="G35" s="35" t="str">
        <f ca="1">IF(OR(OR($A35="",$B35=""),AND($C35&lt;&gt;"",$D35&lt;&gt;"")),"",VLOOKUP(B35,IF({1,0},INDIRECT("达修波得!$"&amp;$E$1&amp;"$2:$"&amp;$E$1&amp;"$8"),达修波得!$A$2:$A$8),2,FALSE))</f>
        <v/>
      </c>
      <c r="H35" s="35" t="str">
        <f t="shared" ca="1" si="0"/>
        <v/>
      </c>
    </row>
    <row r="36" spans="1:8" x14ac:dyDescent="0.2">
      <c r="A36" s="4" t="s">
        <v>30</v>
      </c>
      <c r="F36" s="35" t="str">
        <f ca="1">IF(OR(OR($A36="",$B36=""),AND($C36&lt;&gt;"",$D36&lt;&gt;"")),"",VLOOKUP(A36,IF({1,0},INDIRECT("达修波得!$"&amp;$E$1&amp;"$2:$"&amp;$E$1&amp;"$8"),达修波得!$A$2:$A$8),2,FALSE))</f>
        <v/>
      </c>
      <c r="G36" s="35" t="str">
        <f ca="1">IF(OR(OR($A36="",$B36=""),AND($C36&lt;&gt;"",$D36&lt;&gt;"")),"",VLOOKUP(B36,IF({1,0},INDIRECT("达修波得!$"&amp;$E$1&amp;"$2:$"&amp;$E$1&amp;"$8"),达修波得!$A$2:$A$8),2,FALSE))</f>
        <v/>
      </c>
      <c r="H36" s="35" t="str">
        <f t="shared" ca="1" si="0"/>
        <v/>
      </c>
    </row>
    <row r="37" spans="1:8" x14ac:dyDescent="0.2">
      <c r="A37" t="s">
        <v>114</v>
      </c>
      <c r="B37" t="s">
        <v>113</v>
      </c>
      <c r="C37">
        <v>1</v>
      </c>
      <c r="D37">
        <v>4</v>
      </c>
      <c r="F37" s="35" t="str">
        <f ca="1">IF(OR(OR($A37="",$B37=""),AND($C37&lt;&gt;"",$D37&lt;&gt;"")),"",VLOOKUP(A37,IF({1,0},INDIRECT("达修波得!$"&amp;$E$1&amp;"$2:$"&amp;$E$1&amp;"$8"),达修波得!$A$2:$A$8),2,FALSE))</f>
        <v/>
      </c>
      <c r="G37" s="35" t="str">
        <f ca="1">IF(OR(OR($A37="",$B37=""),AND($C37&lt;&gt;"",$D37&lt;&gt;"")),"",VLOOKUP(B37,IF({1,0},INDIRECT("达修波得!$"&amp;$E$1&amp;"$2:$"&amp;$E$1&amp;"$8"),达修波得!$A$2:$A$8),2,FALSE))</f>
        <v/>
      </c>
      <c r="H37" s="35" t="str">
        <f t="shared" ca="1" si="0"/>
        <v/>
      </c>
    </row>
    <row r="38" spans="1:8" x14ac:dyDescent="0.2">
      <c r="A38" t="s">
        <v>105</v>
      </c>
      <c r="B38" t="s">
        <v>70</v>
      </c>
      <c r="C38" s="54">
        <v>0</v>
      </c>
      <c r="D38" s="54">
        <v>1</v>
      </c>
      <c r="F38" s="35" t="str">
        <f ca="1">IF(OR(OR($A38="",$B38=""),AND($C38&lt;&gt;"",$D38&lt;&gt;"")),"",VLOOKUP(A38,IF({1,0},INDIRECT("达修波得!$"&amp;$E$1&amp;"$2:$"&amp;$E$1&amp;"$8"),达修波得!$A$2:$A$8),2,FALSE))</f>
        <v/>
      </c>
      <c r="G38" s="35" t="str">
        <f ca="1">IF(OR(OR($A38="",$B38=""),AND($C38&lt;&gt;"",$D38&lt;&gt;"")),"",VLOOKUP(B38,IF({1,0},INDIRECT("达修波得!$"&amp;$E$1&amp;"$2:$"&amp;$E$1&amp;"$8"),达修波得!$A$2:$A$8),2,FALSE))</f>
        <v/>
      </c>
      <c r="H38" s="35" t="str">
        <f t="shared" ca="1" si="0"/>
        <v/>
      </c>
    </row>
    <row r="39" spans="1:8" x14ac:dyDescent="0.2">
      <c r="A39" t="s">
        <v>115</v>
      </c>
      <c r="F39" s="35" t="str">
        <f ca="1">IF(OR(OR($A39="",$B39=""),AND($C39&lt;&gt;"",$D39&lt;&gt;"")),"",VLOOKUP(A39,IF({1,0},INDIRECT("达修波得!$"&amp;$E$1&amp;"$2:$"&amp;$E$1&amp;"$8"),达修波得!$A$2:$A$8),2,FALSE))</f>
        <v/>
      </c>
      <c r="G39" s="35" t="str">
        <f ca="1">IF(OR(OR($A39="",$B39=""),AND($C39&lt;&gt;"",$D39&lt;&gt;"")),"",VLOOKUP(B39,IF({1,0},INDIRECT("达修波得!$"&amp;$E$1&amp;"$2:$"&amp;$E$1&amp;"$8"),达修波得!$A$2:$A$8),2,FALSE))</f>
        <v/>
      </c>
      <c r="H39" s="35" t="str">
        <f t="shared" ca="1" si="0"/>
        <v/>
      </c>
    </row>
    <row r="40" spans="1:8" x14ac:dyDescent="0.2">
      <c r="A40" t="s">
        <v>117</v>
      </c>
      <c r="B40" t="s">
        <v>116</v>
      </c>
      <c r="C40">
        <v>1</v>
      </c>
      <c r="D40">
        <v>2</v>
      </c>
      <c r="F40" s="35" t="str">
        <f ca="1">IF(OR(OR($A40="",$B40=""),AND($C40&lt;&gt;"",$D40&lt;&gt;"")),"",VLOOKUP(A40,IF({1,0},INDIRECT("达修波得!$"&amp;$E$1&amp;"$2:$"&amp;$E$1&amp;"$8"),达修波得!$A$2:$A$8),2,FALSE))</f>
        <v/>
      </c>
      <c r="G40" s="35" t="str">
        <f ca="1">IF(OR(OR($A40="",$B40=""),AND($C40&lt;&gt;"",$D40&lt;&gt;"")),"",VLOOKUP(B40,IF({1,0},INDIRECT("达修波得!$"&amp;$E$1&amp;"$2:$"&amp;$E$1&amp;"$8"),达修波得!$A$2:$A$8),2,FALSE))</f>
        <v/>
      </c>
      <c r="H40" s="35" t="str">
        <f t="shared" ca="1" si="0"/>
        <v/>
      </c>
    </row>
    <row r="41" spans="1:8" x14ac:dyDescent="0.2">
      <c r="A41" s="4" t="s">
        <v>31</v>
      </c>
      <c r="F41" s="35" t="str">
        <f ca="1">IF(OR(OR($A41="",$B41=""),AND($C41&lt;&gt;"",$D41&lt;&gt;"")),"",VLOOKUP(A41,IF({1,0},INDIRECT("达修波得!$"&amp;$E$1&amp;"$2:$"&amp;$E$1&amp;"$8"),达修波得!$A$2:$A$8),2,FALSE))</f>
        <v/>
      </c>
      <c r="G41" s="35" t="str">
        <f ca="1">IF(OR(OR($A41="",$B41=""),AND($C41&lt;&gt;"",$D41&lt;&gt;"")),"",VLOOKUP(B41,IF({1,0},INDIRECT("达修波得!$"&amp;$E$1&amp;"$2:$"&amp;$E$1&amp;"$8"),达修波得!$A$2:$A$8),2,FALSE))</f>
        <v/>
      </c>
      <c r="H41" s="35" t="str">
        <f t="shared" ca="1" si="0"/>
        <v/>
      </c>
    </row>
    <row r="42" spans="1:8" x14ac:dyDescent="0.2">
      <c r="A42" t="s">
        <v>105</v>
      </c>
      <c r="B42" t="s">
        <v>113</v>
      </c>
      <c r="C42">
        <v>0</v>
      </c>
      <c r="D42">
        <v>1</v>
      </c>
      <c r="F42" s="35" t="str">
        <f ca="1">IF(OR(OR($A42="",$B42=""),AND($C42&lt;&gt;"",$D42&lt;&gt;"")),"",VLOOKUP(A42,IF({1,0},INDIRECT("达修波得!$"&amp;$E$1&amp;"$2:$"&amp;$E$1&amp;"$8"),达修波得!$A$2:$A$8),2,FALSE))</f>
        <v/>
      </c>
      <c r="G42" s="35" t="str">
        <f ca="1">IF(OR(OR($A42="",$B42=""),AND($C42&lt;&gt;"",$D42&lt;&gt;"")),"",VLOOKUP(B42,IF({1,0},INDIRECT("达修波得!$"&amp;$E$1&amp;"$2:$"&amp;$E$1&amp;"$8"),达修波得!$A$2:$A$8),2,FALSE))</f>
        <v/>
      </c>
      <c r="H42" s="35" t="str">
        <f t="shared" ca="1" si="0"/>
        <v/>
      </c>
    </row>
    <row r="43" spans="1:8" x14ac:dyDescent="0.2">
      <c r="A43" t="s">
        <v>115</v>
      </c>
      <c r="B43" t="s">
        <v>114</v>
      </c>
      <c r="C43">
        <v>1</v>
      </c>
      <c r="D43">
        <v>2</v>
      </c>
      <c r="F43" s="35" t="str">
        <f ca="1">IF(OR(OR($A43="",$B43=""),AND($C43&lt;&gt;"",$D43&lt;&gt;"")),"",VLOOKUP(A43,IF({1,0},INDIRECT("达修波得!$"&amp;$E$1&amp;"$2:$"&amp;$E$1&amp;"$8"),达修波得!$A$2:$A$8),2,FALSE))</f>
        <v/>
      </c>
      <c r="G43" s="35" t="str">
        <f ca="1">IF(OR(OR($A43="",$B43=""),AND($C43&lt;&gt;"",$D43&lt;&gt;"")),"",VLOOKUP(B43,IF({1,0},INDIRECT("达修波得!$"&amp;$E$1&amp;"$2:$"&amp;$E$1&amp;"$8"),达修波得!$A$2:$A$8),2,FALSE))</f>
        <v/>
      </c>
      <c r="H43" s="35" t="str">
        <f t="shared" ca="1" si="0"/>
        <v/>
      </c>
    </row>
    <row r="44" spans="1:8" x14ac:dyDescent="0.2">
      <c r="A44" t="s">
        <v>117</v>
      </c>
      <c r="B44" t="s">
        <v>70</v>
      </c>
      <c r="C44">
        <v>2</v>
      </c>
      <c r="D44">
        <v>0</v>
      </c>
      <c r="F44" s="35" t="str">
        <f ca="1">IF(OR(OR($A44="",$B44=""),AND($C44&lt;&gt;"",$D44&lt;&gt;"")),"",VLOOKUP(A44,IF({1,0},INDIRECT("达修波得!$"&amp;$E$1&amp;"$2:$"&amp;$E$1&amp;"$8"),达修波得!$A$2:$A$8),2,FALSE))</f>
        <v/>
      </c>
      <c r="G44" s="35" t="str">
        <f ca="1">IF(OR(OR($A44="",$B44=""),AND($C44&lt;&gt;"",$D44&lt;&gt;"")),"",VLOOKUP(B44,IF({1,0},INDIRECT("达修波得!$"&amp;$E$1&amp;"$2:$"&amp;$E$1&amp;"$8"),达修波得!$A$2:$A$8),2,FALSE))</f>
        <v/>
      </c>
      <c r="H44" s="35" t="str">
        <f t="shared" ca="1" si="0"/>
        <v/>
      </c>
    </row>
    <row r="45" spans="1:8" x14ac:dyDescent="0.2">
      <c r="A45" t="s">
        <v>116</v>
      </c>
      <c r="F45" s="35" t="str">
        <f ca="1">IF(OR(OR($A45="",$B45=""),AND($C45&lt;&gt;"",$D45&lt;&gt;"")),"",VLOOKUP(A45,IF({1,0},INDIRECT("达修波得!$"&amp;$E$1&amp;"$2:$"&amp;$E$1&amp;"$8"),达修波得!$A$2:$A$8),2,FALSE))</f>
        <v/>
      </c>
      <c r="G45" s="35" t="str">
        <f ca="1">IF(OR(OR($A45="",$B45=""),AND($C45&lt;&gt;"",$D45&lt;&gt;"")),"",VLOOKUP(B45,IF({1,0},INDIRECT("达修波得!$"&amp;$E$1&amp;"$2:$"&amp;$E$1&amp;"$8"),达修波得!$A$2:$A$8),2,FALSE))</f>
        <v/>
      </c>
      <c r="H45" s="35" t="str">
        <f t="shared" ca="1" si="0"/>
        <v/>
      </c>
    </row>
    <row r="46" spans="1:8" x14ac:dyDescent="0.2">
      <c r="A46" s="4" t="s">
        <v>32</v>
      </c>
      <c r="F46" s="35" t="str">
        <f ca="1">IF(OR(OR($A46="",$B46=""),AND($C46&lt;&gt;"",$D46&lt;&gt;"")),"",VLOOKUP(A46,IF({1,0},INDIRECT("达修波得!$"&amp;$E$1&amp;"$2:$"&amp;$E$1&amp;"$8"),达修波得!$A$2:$A$8),2,FALSE))</f>
        <v/>
      </c>
      <c r="G46" s="35" t="str">
        <f ca="1">IF(OR(OR($A46="",$B46=""),AND($C46&lt;&gt;"",$D46&lt;&gt;"")),"",VLOOKUP(B46,IF({1,0},INDIRECT("达修波得!$"&amp;$E$1&amp;"$2:$"&amp;$E$1&amp;"$8"),达修波得!$A$2:$A$8),2,FALSE))</f>
        <v/>
      </c>
      <c r="H46" s="35" t="str">
        <f t="shared" ca="1" si="0"/>
        <v/>
      </c>
    </row>
    <row r="47" spans="1:8" x14ac:dyDescent="0.2">
      <c r="A47" t="s">
        <v>115</v>
      </c>
      <c r="B47" t="s">
        <v>113</v>
      </c>
      <c r="C47">
        <v>1</v>
      </c>
      <c r="D47">
        <v>0</v>
      </c>
      <c r="F47" s="35" t="str">
        <f ca="1">IF(OR(OR($A47="",$B47=""),AND($C47&lt;&gt;"",$D47&lt;&gt;"")),"",VLOOKUP(A47,IF({1,0},INDIRECT("达修波得!$"&amp;$E$1&amp;"$2:$"&amp;$E$1&amp;"$8"),达修波得!$A$2:$A$8),2,FALSE))</f>
        <v/>
      </c>
      <c r="G47" s="35" t="str">
        <f ca="1">IF(OR(OR($A47="",$B47=""),AND($C47&lt;&gt;"",$D47&lt;&gt;"")),"",VLOOKUP(B47,IF({1,0},INDIRECT("达修波得!$"&amp;$E$1&amp;"$2:$"&amp;$E$1&amp;"$8"),达修波得!$A$2:$A$8),2,FALSE))</f>
        <v/>
      </c>
      <c r="H47" s="35" t="str">
        <f t="shared" ca="1" si="0"/>
        <v/>
      </c>
    </row>
    <row r="48" spans="1:8" x14ac:dyDescent="0.2">
      <c r="A48" t="s">
        <v>117</v>
      </c>
      <c r="B48" t="s">
        <v>105</v>
      </c>
      <c r="C48">
        <v>4</v>
      </c>
      <c r="D48">
        <v>1</v>
      </c>
      <c r="F48" s="35" t="str">
        <f ca="1">IF(OR(OR($A48="",$B48=""),AND($C48&lt;&gt;"",$D48&lt;&gt;"")),"",VLOOKUP(A48,IF({1,0},INDIRECT("达修波得!$"&amp;$E$1&amp;"$2:$"&amp;$E$1&amp;"$8"),达修波得!$A$2:$A$8),2,FALSE))</f>
        <v/>
      </c>
      <c r="G48" s="35" t="str">
        <f ca="1">IF(OR(OR($A48="",$B48=""),AND($C48&lt;&gt;"",$D48&lt;&gt;"")),"",VLOOKUP(B48,IF({1,0},INDIRECT("达修波得!$"&amp;$E$1&amp;"$2:$"&amp;$E$1&amp;"$8"),达修波得!$A$2:$A$8),2,FALSE))</f>
        <v/>
      </c>
      <c r="H48" s="35" t="str">
        <f t="shared" ca="1" si="0"/>
        <v/>
      </c>
    </row>
    <row r="49" spans="1:8" x14ac:dyDescent="0.2">
      <c r="A49" t="s">
        <v>116</v>
      </c>
      <c r="B49" t="s">
        <v>114</v>
      </c>
      <c r="C49">
        <v>4</v>
      </c>
      <c r="D49">
        <v>1</v>
      </c>
      <c r="F49" s="35" t="str">
        <f ca="1">IF(OR(OR($A49="",$B49=""),AND($C49&lt;&gt;"",$D49&lt;&gt;"")),"",VLOOKUP(A49,IF({1,0},INDIRECT("达修波得!$"&amp;$E$1&amp;"$2:$"&amp;$E$1&amp;"$8"),达修波得!$A$2:$A$8),2,FALSE))</f>
        <v/>
      </c>
      <c r="G49" s="35" t="str">
        <f ca="1">IF(OR(OR($A49="",$B49=""),AND($C49&lt;&gt;"",$D49&lt;&gt;"")),"",VLOOKUP(B49,IF({1,0},INDIRECT("达修波得!$"&amp;$E$1&amp;"$2:$"&amp;$E$1&amp;"$8"),达修波得!$A$2:$A$8),2,FALSE))</f>
        <v/>
      </c>
      <c r="H49" s="35" t="str">
        <f t="shared" ca="1" si="0"/>
        <v/>
      </c>
    </row>
    <row r="50" spans="1:8" x14ac:dyDescent="0.2">
      <c r="B50" t="s">
        <v>70</v>
      </c>
      <c r="F50" s="35" t="str">
        <f ca="1">IF(OR(OR($A50="",$B50=""),AND($C50&lt;&gt;"",$D50&lt;&gt;"")),"",VLOOKUP(A50,IF({1,0},INDIRECT("达修波得!$"&amp;$E$1&amp;"$2:$"&amp;$E$1&amp;"$8"),达修波得!$A$2:$A$8),2,FALSE))</f>
        <v/>
      </c>
      <c r="G50" s="35" t="str">
        <f ca="1">IF(OR(OR($A50="",$B50=""),AND($C50&lt;&gt;"",$D50&lt;&gt;"")),"",VLOOKUP(B50,IF({1,0},INDIRECT("达修波得!$"&amp;$E$1&amp;"$2:$"&amp;$E$1&amp;"$8"),达修波得!$A$2:$A$8),2,FALSE))</f>
        <v/>
      </c>
      <c r="H50" s="35" t="str">
        <f t="shared" ca="1" si="0"/>
        <v/>
      </c>
    </row>
    <row r="51" spans="1:8" x14ac:dyDescent="0.2">
      <c r="A51" s="4" t="s">
        <v>33</v>
      </c>
      <c r="F51" s="35" t="str">
        <f ca="1">IF(OR(OR($A51="",$B51=""),AND($C51&lt;&gt;"",$D51&lt;&gt;"")),"",VLOOKUP(A51,IF({1,0},INDIRECT("达修波得!$"&amp;$E$1&amp;"$2:$"&amp;$E$1&amp;"$8"),达修波得!$A$2:$A$8),2,FALSE))</f>
        <v/>
      </c>
      <c r="G51" s="35" t="str">
        <f ca="1">IF(OR(OR($A51="",$B51=""),AND($C51&lt;&gt;"",$D51&lt;&gt;"")),"",VLOOKUP(B51,IF({1,0},INDIRECT("达修波得!$"&amp;$E$1&amp;"$2:$"&amp;$E$1&amp;"$8"),达修波得!$A$2:$A$8),2,FALSE))</f>
        <v/>
      </c>
      <c r="H51" s="35" t="str">
        <f t="shared" ca="1" si="0"/>
        <v/>
      </c>
    </row>
    <row r="52" spans="1:8" x14ac:dyDescent="0.2">
      <c r="A52" t="s">
        <v>117</v>
      </c>
      <c r="B52" t="s">
        <v>113</v>
      </c>
      <c r="C52">
        <v>2</v>
      </c>
      <c r="D52">
        <v>3</v>
      </c>
      <c r="F52" s="35" t="str">
        <f ca="1">IF(OR(OR($A52="",$B52=""),AND($C52&lt;&gt;"",$D52&lt;&gt;"")),"",VLOOKUP(A52,IF({1,0},INDIRECT("达修波得!$"&amp;$E$1&amp;"$2:$"&amp;$E$1&amp;"$8"),达修波得!$A$2:$A$8),2,FALSE))</f>
        <v/>
      </c>
      <c r="G52" s="35" t="str">
        <f ca="1">IF(OR(OR($A52="",$B52=""),AND($C52&lt;&gt;"",$D52&lt;&gt;"")),"",VLOOKUP(B52,IF({1,0},INDIRECT("达修波得!$"&amp;$E$1&amp;"$2:$"&amp;$E$1&amp;"$8"),达修波得!$A$2:$A$8),2,FALSE))</f>
        <v/>
      </c>
      <c r="H52" s="35" t="str">
        <f t="shared" ca="1" si="0"/>
        <v/>
      </c>
    </row>
    <row r="53" spans="1:8" x14ac:dyDescent="0.2">
      <c r="A53" t="s">
        <v>116</v>
      </c>
      <c r="B53" t="s">
        <v>115</v>
      </c>
      <c r="C53">
        <v>1</v>
      </c>
      <c r="D53">
        <v>1</v>
      </c>
      <c r="F53" s="35" t="str">
        <f ca="1">IF(OR(OR($A53="",$B53=""),AND($C53&lt;&gt;"",$D53&lt;&gt;"")),"",VLOOKUP(A53,IF({1,0},INDIRECT("达修波得!$"&amp;$E$1&amp;"$2:$"&amp;$E$1&amp;"$8"),达修波得!$A$2:$A$8),2,FALSE))</f>
        <v/>
      </c>
      <c r="G53" s="35" t="str">
        <f ca="1">IF(OR(OR($A53="",$B53=""),AND($C53&lt;&gt;"",$D53&lt;&gt;"")),"",VLOOKUP(B53,IF({1,0},INDIRECT("达修波得!$"&amp;$E$1&amp;"$2:$"&amp;$E$1&amp;"$8"),达修波得!$A$2:$A$8),2,FALSE))</f>
        <v/>
      </c>
      <c r="H53" s="35" t="str">
        <f t="shared" ca="1" si="0"/>
        <v/>
      </c>
    </row>
    <row r="54" spans="1:8" x14ac:dyDescent="0.2">
      <c r="B54" t="s">
        <v>105</v>
      </c>
      <c r="F54" s="35" t="str">
        <f ca="1">IF(OR(OR($A54="",$B54=""),AND($C54&lt;&gt;"",$D54&lt;&gt;"")),"",VLOOKUP(A54,IF({1,0},INDIRECT("达修波得!$"&amp;$E$1&amp;"$2:$"&amp;$E$1&amp;"$8"),达修波得!$A$2:$A$8),2,FALSE))</f>
        <v/>
      </c>
      <c r="G54" s="35" t="str">
        <f ca="1">IF(OR(OR($A54="",$B54=""),AND($C54&lt;&gt;"",$D54&lt;&gt;"")),"",VLOOKUP(B54,IF({1,0},INDIRECT("达修波得!$"&amp;$E$1&amp;"$2:$"&amp;$E$1&amp;"$8"),达修波得!$A$2:$A$8),2,FALSE))</f>
        <v/>
      </c>
      <c r="H54" s="35" t="str">
        <f t="shared" ca="1" si="0"/>
        <v/>
      </c>
    </row>
    <row r="55" spans="1:8" x14ac:dyDescent="0.2">
      <c r="A55" t="s">
        <v>70</v>
      </c>
      <c r="B55" t="s">
        <v>114</v>
      </c>
      <c r="C55">
        <v>0</v>
      </c>
      <c r="D55">
        <v>3</v>
      </c>
      <c r="F55" s="35" t="str">
        <f ca="1">IF(OR(OR($A55="",$B55=""),AND($C55&lt;&gt;"",$D55&lt;&gt;"")),"",VLOOKUP(A55,IF({1,0},INDIRECT("达修波得!$"&amp;$E$1&amp;"$2:$"&amp;$E$1&amp;"$8"),达修波得!$A$2:$A$8),2,FALSE))</f>
        <v/>
      </c>
      <c r="G55" s="35" t="str">
        <f ca="1">IF(OR(OR($A55="",$B55=""),AND($C55&lt;&gt;"",$D55&lt;&gt;"")),"",VLOOKUP(B55,IF({1,0},INDIRECT("达修波得!$"&amp;$E$1&amp;"$2:$"&amp;$E$1&amp;"$8"),达修波得!$A$2:$A$8),2,FALSE))</f>
        <v/>
      </c>
      <c r="H55" s="35" t="str">
        <f t="shared" ca="1" si="0"/>
        <v/>
      </c>
    </row>
    <row r="56" spans="1:8" x14ac:dyDescent="0.2">
      <c r="A56" s="4" t="s">
        <v>34</v>
      </c>
      <c r="F56" s="35" t="str">
        <f ca="1">IF(OR(OR($A56="",$B56=""),AND($C56&lt;&gt;"",$D56&lt;&gt;"")),"",VLOOKUP(A56,IF({1,0},INDIRECT("达修波得!$"&amp;$E$1&amp;"$2:$"&amp;$E$1&amp;"$8"),达修波得!$A$2:$A$8),2,FALSE))</f>
        <v/>
      </c>
      <c r="G56" s="35" t="str">
        <f ca="1">IF(OR(OR($A56="",$B56=""),AND($C56&lt;&gt;"",$D56&lt;&gt;"")),"",VLOOKUP(B56,IF({1,0},INDIRECT("达修波得!$"&amp;$E$1&amp;"$2:$"&amp;$E$1&amp;"$8"),达修波得!$A$2:$A$8),2,FALSE))</f>
        <v/>
      </c>
      <c r="H56" s="35" t="str">
        <f t="shared" ca="1" si="0"/>
        <v/>
      </c>
    </row>
    <row r="57" spans="1:8" x14ac:dyDescent="0.2">
      <c r="A57" t="s">
        <v>116</v>
      </c>
      <c r="B57" t="s">
        <v>113</v>
      </c>
      <c r="C57">
        <v>0</v>
      </c>
      <c r="D57">
        <v>2</v>
      </c>
      <c r="F57" s="35" t="str">
        <f ca="1">IF(OR(OR($A57="",$B57=""),AND($C57&lt;&gt;"",$D57&lt;&gt;"")),"",VLOOKUP(A57,IF({1,0},INDIRECT("达修波得!$"&amp;$E$1&amp;"$2:$"&amp;$E$1&amp;"$8"),达修波得!$A$2:$A$8),2,FALSE))</f>
        <v/>
      </c>
      <c r="G57" s="35" t="str">
        <f ca="1">IF(OR(OR($A57="",$B57=""),AND($C57&lt;&gt;"",$D57&lt;&gt;"")),"",VLOOKUP(B57,IF({1,0},INDIRECT("达修波得!$"&amp;$E$1&amp;"$2:$"&amp;$E$1&amp;"$8"),达修波得!$A$2:$A$8),2,FALSE))</f>
        <v/>
      </c>
      <c r="H57" s="35" t="str">
        <f t="shared" ca="1" si="0"/>
        <v/>
      </c>
    </row>
    <row r="58" spans="1:8" x14ac:dyDescent="0.2">
      <c r="B58" t="s">
        <v>117</v>
      </c>
      <c r="F58" s="35" t="str">
        <f ca="1">IF(OR(OR($A58="",$B58=""),AND($C58&lt;&gt;"",$D58&lt;&gt;"")),"",VLOOKUP(A58,IF({1,0},INDIRECT("达修波得!$"&amp;$E$1&amp;"$2:$"&amp;$E$1&amp;"$8"),达修波得!$A$2:$A$8),2,FALSE))</f>
        <v/>
      </c>
      <c r="G58" s="35" t="str">
        <f ca="1">IF(OR(OR($A58="",$B58=""),AND($C58&lt;&gt;"",$D58&lt;&gt;"")),"",VLOOKUP(B58,IF({1,0},INDIRECT("达修波得!$"&amp;$E$1&amp;"$2:$"&amp;$E$1&amp;"$8"),达修波得!$A$2:$A$8),2,FALSE))</f>
        <v/>
      </c>
      <c r="H58" s="35" t="str">
        <f t="shared" ca="1" si="0"/>
        <v/>
      </c>
    </row>
    <row r="59" spans="1:8" x14ac:dyDescent="0.2">
      <c r="A59" t="s">
        <v>70</v>
      </c>
      <c r="B59" t="s">
        <v>115</v>
      </c>
      <c r="C59">
        <v>0</v>
      </c>
      <c r="D59">
        <v>0</v>
      </c>
      <c r="F59" s="35" t="str">
        <f ca="1">IF(OR(OR($A59="",$B59=""),AND($C59&lt;&gt;"",$D59&lt;&gt;"")),"",VLOOKUP(A59,IF({1,0},INDIRECT("达修波得!$"&amp;$E$1&amp;"$2:$"&amp;$E$1&amp;"$8"),达修波得!$A$2:$A$8),2,FALSE))</f>
        <v/>
      </c>
      <c r="G59" s="35" t="str">
        <f ca="1">IF(OR(OR($A59="",$B59=""),AND($C59&lt;&gt;"",$D59&lt;&gt;"")),"",VLOOKUP(B59,IF({1,0},INDIRECT("达修波得!$"&amp;$E$1&amp;"$2:$"&amp;$E$1&amp;"$8"),达修波得!$A$2:$A$8),2,FALSE))</f>
        <v/>
      </c>
      <c r="H59" s="35" t="str">
        <f t="shared" ca="1" si="0"/>
        <v/>
      </c>
    </row>
    <row r="60" spans="1:8" x14ac:dyDescent="0.2">
      <c r="A60" t="s">
        <v>114</v>
      </c>
      <c r="B60" t="s">
        <v>105</v>
      </c>
      <c r="C60">
        <v>1</v>
      </c>
      <c r="D60">
        <v>0</v>
      </c>
      <c r="F60" s="35" t="str">
        <f ca="1">IF(OR(OR($A60="",$B60=""),AND($C60&lt;&gt;"",$D60&lt;&gt;"")),"",VLOOKUP(A60,IF({1,0},INDIRECT("达修波得!$"&amp;$E$1&amp;"$2:$"&amp;$E$1&amp;"$8"),达修波得!$A$2:$A$8),2,FALSE))</f>
        <v/>
      </c>
      <c r="G60" s="35" t="str">
        <f ca="1">IF(OR(OR($A60="",$B60=""),AND($C60&lt;&gt;"",$D60&lt;&gt;"")),"",VLOOKUP(B60,IF({1,0},INDIRECT("达修波得!$"&amp;$E$1&amp;"$2:$"&amp;$E$1&amp;"$8"),达修波得!$A$2:$A$8),2,FALSE))</f>
        <v/>
      </c>
      <c r="H60" s="35" t="str">
        <f t="shared" ca="1" si="0"/>
        <v/>
      </c>
    </row>
    <row r="61" spans="1:8" x14ac:dyDescent="0.2">
      <c r="A61" s="4" t="s">
        <v>35</v>
      </c>
      <c r="F61" s="35" t="str">
        <f ca="1">IF(OR(OR($A61="",$B61=""),AND($C61&lt;&gt;"",$D61&lt;&gt;"")),"",VLOOKUP(A61,IF({1,0},INDIRECT("达修波得!$"&amp;$E$1&amp;"$2:$"&amp;$E$1&amp;"$8"),达修波得!$A$2:$A$8),2,FALSE))</f>
        <v/>
      </c>
      <c r="G61" s="35" t="str">
        <f ca="1">IF(OR(OR($A61="",$B61=""),AND($C61&lt;&gt;"",$D61&lt;&gt;"")),"",VLOOKUP(B61,IF({1,0},INDIRECT("达修波得!$"&amp;$E$1&amp;"$2:$"&amp;$E$1&amp;"$8"),达修波得!$A$2:$A$8),2,FALSE))</f>
        <v/>
      </c>
      <c r="H61" s="35" t="str">
        <f t="shared" ca="1" si="0"/>
        <v/>
      </c>
    </row>
    <row r="62" spans="1:8" x14ac:dyDescent="0.2">
      <c r="B62" t="s">
        <v>113</v>
      </c>
      <c r="F62" s="35" t="str">
        <f ca="1">IF(OR(OR($A62="",$B62=""),AND($C62&lt;&gt;"",$D62&lt;&gt;"")),"",VLOOKUP(A62,IF({1,0},INDIRECT("达修波得!$"&amp;$E$1&amp;"$2:$"&amp;$E$1&amp;"$8"),达修波得!$A$2:$A$8),2,FALSE))</f>
        <v/>
      </c>
      <c r="G62" s="35" t="str">
        <f ca="1">IF(OR(OR($A62="",$B62=""),AND($C62&lt;&gt;"",$D62&lt;&gt;"")),"",VLOOKUP(B62,IF({1,0},INDIRECT("达修波得!$"&amp;$E$1&amp;"$2:$"&amp;$E$1&amp;"$8"),达修波得!$A$2:$A$8),2,FALSE))</f>
        <v/>
      </c>
      <c r="H62" s="35" t="str">
        <f t="shared" ca="1" si="0"/>
        <v/>
      </c>
    </row>
    <row r="63" spans="1:8" x14ac:dyDescent="0.2">
      <c r="A63" t="s">
        <v>70</v>
      </c>
      <c r="B63" t="s">
        <v>116</v>
      </c>
      <c r="C63">
        <v>0</v>
      </c>
      <c r="D63">
        <v>3</v>
      </c>
      <c r="F63" s="35" t="str">
        <f ca="1">IF(OR(OR($A63="",$B63=""),AND($C63&lt;&gt;"",$D63&lt;&gt;"")),"",VLOOKUP(A63,IF({1,0},INDIRECT("达修波得!$"&amp;$E$1&amp;"$2:$"&amp;$E$1&amp;"$8"),达修波得!$A$2:$A$8),2,FALSE))</f>
        <v/>
      </c>
      <c r="G63" s="35" t="str">
        <f ca="1">IF(OR(OR($A63="",$B63=""),AND($C63&lt;&gt;"",$D63&lt;&gt;"")),"",VLOOKUP(B63,IF({1,0},INDIRECT("达修波得!$"&amp;$E$1&amp;"$2:$"&amp;$E$1&amp;"$8"),达修波得!$A$2:$A$8),2,FALSE))</f>
        <v/>
      </c>
      <c r="H63" s="35" t="str">
        <f t="shared" ca="1" si="0"/>
        <v/>
      </c>
    </row>
    <row r="64" spans="1:8" x14ac:dyDescent="0.2">
      <c r="A64" t="s">
        <v>114</v>
      </c>
      <c r="B64" t="s">
        <v>117</v>
      </c>
      <c r="C64">
        <v>3</v>
      </c>
      <c r="D64">
        <v>0</v>
      </c>
      <c r="F64" s="35" t="str">
        <f ca="1">IF(OR(OR($A64="",$B64=""),AND($C64&lt;&gt;"",$D64&lt;&gt;"")),"",VLOOKUP(A64,IF({1,0},INDIRECT("达修波得!$"&amp;$E$1&amp;"$2:$"&amp;$E$1&amp;"$8"),达修波得!$A$2:$A$8),2,FALSE))</f>
        <v/>
      </c>
      <c r="G64" s="35" t="str">
        <f ca="1">IF(OR(OR($A64="",$B64=""),AND($C64&lt;&gt;"",$D64&lt;&gt;"")),"",VLOOKUP(B64,IF({1,0},INDIRECT("达修波得!$"&amp;$E$1&amp;"$2:$"&amp;$E$1&amp;"$8"),达修波得!$A$2:$A$8),2,FALSE))</f>
        <v/>
      </c>
      <c r="H64" s="35" t="str">
        <f t="shared" ca="1" si="0"/>
        <v/>
      </c>
    </row>
    <row r="65" spans="1:8" x14ac:dyDescent="0.2">
      <c r="A65" t="s">
        <v>105</v>
      </c>
      <c r="B65" t="s">
        <v>115</v>
      </c>
      <c r="C65">
        <v>1</v>
      </c>
      <c r="D65">
        <v>4</v>
      </c>
      <c r="F65" s="35" t="str">
        <f ca="1">IF(OR(OR($A65="",$B65=""),AND($C65&lt;&gt;"",$D65&lt;&gt;"")),"",VLOOKUP(A65,IF({1,0},INDIRECT("达修波得!$"&amp;$E$1&amp;"$2:$"&amp;$E$1&amp;"$8"),达修波得!$A$2:$A$8),2,FALSE))</f>
        <v/>
      </c>
      <c r="G65" s="35" t="str">
        <f ca="1">IF(OR(OR($A65="",$B65=""),AND($C65&lt;&gt;"",$D65&lt;&gt;"")),"",VLOOKUP(B65,IF({1,0},INDIRECT("达修波得!$"&amp;$E$1&amp;"$2:$"&amp;$E$1&amp;"$8"),达修波得!$A$2:$A$8),2,FALSE))</f>
        <v/>
      </c>
      <c r="H65" s="35" t="str">
        <f t="shared" ca="1" si="0"/>
        <v/>
      </c>
    </row>
    <row r="66" spans="1:8" x14ac:dyDescent="0.2">
      <c r="A66" s="4" t="s">
        <v>36</v>
      </c>
      <c r="F66" s="35" t="str">
        <f ca="1">IF(OR(OR($A66="",$B66=""),AND($C66&lt;&gt;"",$D66&lt;&gt;"")),"",VLOOKUP(A66,IF({1,0},INDIRECT("达修波得!$"&amp;$E$1&amp;"$2:$"&amp;$E$1&amp;"$8"),达修波得!$A$2:$A$8),2,FALSE))</f>
        <v/>
      </c>
      <c r="G66" s="35" t="str">
        <f ca="1">IF(OR(OR($A66="",$B66=""),AND($C66&lt;&gt;"",$D66&lt;&gt;"")),"",VLOOKUP(B66,IF({1,0},INDIRECT("达修波得!$"&amp;$E$1&amp;"$2:$"&amp;$E$1&amp;"$8"),达修波得!$A$2:$A$8),2,FALSE))</f>
        <v/>
      </c>
      <c r="H66" s="35" t="str">
        <f t="shared" ref="H66:H93" ca="1" si="1">F66&amp;G66</f>
        <v/>
      </c>
    </row>
    <row r="67" spans="1:8" x14ac:dyDescent="0.2">
      <c r="A67" t="s">
        <v>70</v>
      </c>
      <c r="B67" t="s">
        <v>113</v>
      </c>
      <c r="C67">
        <v>0</v>
      </c>
      <c r="D67">
        <v>3</v>
      </c>
      <c r="F67" s="35" t="str">
        <f ca="1">IF(OR(OR($A67="",$B67=""),AND($C67&lt;&gt;"",$D67&lt;&gt;"")),"",VLOOKUP(A67,IF({1,0},INDIRECT("达修波得!$"&amp;$E$1&amp;"$2:$"&amp;$E$1&amp;"$8"),达修波得!$A$2:$A$8),2,FALSE))</f>
        <v/>
      </c>
      <c r="G67" s="35" t="str">
        <f ca="1">IF(OR(OR($A67="",$B67=""),AND($C67&lt;&gt;"",$D67&lt;&gt;"")),"",VLOOKUP(B67,IF({1,0},INDIRECT("达修波得!$"&amp;$E$1&amp;"$2:$"&amp;$E$1&amp;"$8"),达修波得!$A$2:$A$8),2,FALSE))</f>
        <v/>
      </c>
      <c r="H67" s="35" t="str">
        <f t="shared" ca="1" si="1"/>
        <v/>
      </c>
    </row>
    <row r="68" spans="1:8" x14ac:dyDescent="0.2">
      <c r="A68" t="s">
        <v>114</v>
      </c>
      <c r="F68" s="35" t="str">
        <f ca="1">IF(OR(OR($A68="",$B68=""),AND($C68&lt;&gt;"",$D68&lt;&gt;"")),"",VLOOKUP(A68,IF({1,0},INDIRECT("达修波得!$"&amp;$E$1&amp;"$2:$"&amp;$E$1&amp;"$8"),达修波得!$A$2:$A$8),2,FALSE))</f>
        <v/>
      </c>
      <c r="G68" s="35" t="str">
        <f ca="1">IF(OR(OR($A68="",$B68=""),AND($C68&lt;&gt;"",$D68&lt;&gt;"")),"",VLOOKUP(B68,IF({1,0},INDIRECT("达修波得!$"&amp;$E$1&amp;"$2:$"&amp;$E$1&amp;"$8"),达修波得!$A$2:$A$8),2,FALSE))</f>
        <v/>
      </c>
      <c r="H68" s="35" t="str">
        <f t="shared" ca="1" si="1"/>
        <v/>
      </c>
    </row>
    <row r="69" spans="1:8" x14ac:dyDescent="0.2">
      <c r="A69" t="s">
        <v>105</v>
      </c>
      <c r="B69" t="s">
        <v>116</v>
      </c>
      <c r="C69">
        <v>2</v>
      </c>
      <c r="D69">
        <v>2</v>
      </c>
      <c r="F69" s="35" t="str">
        <f ca="1">IF(OR(OR($A69="",$B69=""),AND($C69&lt;&gt;"",$D69&lt;&gt;"")),"",VLOOKUP(A69,IF({1,0},INDIRECT("达修波得!$"&amp;$E$1&amp;"$2:$"&amp;$E$1&amp;"$8"),达修波得!$A$2:$A$8),2,FALSE))</f>
        <v/>
      </c>
      <c r="G69" s="35" t="str">
        <f ca="1">IF(OR(OR($A69="",$B69=""),AND($C69&lt;&gt;"",$D69&lt;&gt;"")),"",VLOOKUP(B69,IF({1,0},INDIRECT("达修波得!$"&amp;$E$1&amp;"$2:$"&amp;$E$1&amp;"$8"),达修波得!$A$2:$A$8),2,FALSE))</f>
        <v/>
      </c>
      <c r="H69" s="35" t="str">
        <f t="shared" ca="1" si="1"/>
        <v/>
      </c>
    </row>
    <row r="70" spans="1:8" x14ac:dyDescent="0.2">
      <c r="A70" t="s">
        <v>115</v>
      </c>
      <c r="B70" t="s">
        <v>117</v>
      </c>
      <c r="C70">
        <v>0</v>
      </c>
      <c r="D70">
        <v>0</v>
      </c>
      <c r="F70" s="35" t="str">
        <f ca="1">IF(OR(OR($A70="",$B70=""),AND($C70&lt;&gt;"",$D70&lt;&gt;"")),"",VLOOKUP(A70,IF({1,0},INDIRECT("达修波得!$"&amp;$E$1&amp;"$2:$"&amp;$E$1&amp;"$8"),达修波得!$A$2:$A$8),2,FALSE))</f>
        <v/>
      </c>
      <c r="G70" s="35" t="str">
        <f ca="1">IF(OR(OR($A70="",$B70=""),AND($C70&lt;&gt;"",$D70&lt;&gt;"")),"",VLOOKUP(B70,IF({1,0},INDIRECT("达修波得!$"&amp;$E$1&amp;"$2:$"&amp;$E$1&amp;"$8"),达修波得!$A$2:$A$8),2,FALSE))</f>
        <v/>
      </c>
      <c r="H70" s="35" t="str">
        <f t="shared" ca="1" si="1"/>
        <v/>
      </c>
    </row>
    <row r="71" spans="1:8" x14ac:dyDescent="0.2">
      <c r="F71" s="35" t="str">
        <f ca="1">IF(OR(OR($A71="",$B71=""),AND($C71&lt;&gt;"",$D71&lt;&gt;"")),"",VLOOKUP(A71,IF({1,0},INDIRECT("达修波得!$"&amp;$E$1&amp;"$2:$"&amp;$E$1&amp;"$8"),达修波得!$A$2:$A$8),2,FALSE))</f>
        <v/>
      </c>
      <c r="G71" s="35" t="str">
        <f ca="1">IF(OR(OR($A71="",$B71=""),AND($C71&lt;&gt;"",$D71&lt;&gt;"")),"",VLOOKUP(B71,IF({1,0},INDIRECT("达修波得!$"&amp;$E$1&amp;"$2:$"&amp;$E$1&amp;"$8"),达修波得!$A$2:$A$8),2,FALSE))</f>
        <v/>
      </c>
      <c r="H71" s="35" t="str">
        <f t="shared" ca="1" si="1"/>
        <v/>
      </c>
    </row>
    <row r="72" spans="1:8" x14ac:dyDescent="0.2">
      <c r="F72" s="35" t="str">
        <f ca="1">IF(OR(OR($A72="",$B72=""),AND($C72&lt;&gt;"",$D72&lt;&gt;"")),"",VLOOKUP(A72,IF({1,0},INDIRECT("达修波得!$"&amp;$E$1&amp;"$2:$"&amp;$E$1&amp;"$8"),达修波得!$A$2:$A$8),2,FALSE))</f>
        <v/>
      </c>
      <c r="G72" s="35" t="str">
        <f ca="1">IF(OR(OR($A72="",$B72=""),AND($C72&lt;&gt;"",$D72&lt;&gt;"")),"",VLOOKUP(B72,IF({1,0},INDIRECT("达修波得!$"&amp;$E$1&amp;"$2:$"&amp;$E$1&amp;"$8"),达修波得!$A$2:$A$8),2,FALSE))</f>
        <v/>
      </c>
      <c r="H72" s="35" t="str">
        <f t="shared" ca="1" si="1"/>
        <v/>
      </c>
    </row>
    <row r="73" spans="1:8" x14ac:dyDescent="0.2">
      <c r="H73" s="35" t="str">
        <f t="shared" si="1"/>
        <v/>
      </c>
    </row>
    <row r="74" spans="1:8" x14ac:dyDescent="0.2">
      <c r="H74" s="35" t="str">
        <f t="shared" si="1"/>
        <v/>
      </c>
    </row>
    <row r="75" spans="1:8" x14ac:dyDescent="0.2">
      <c r="H75" s="35" t="str">
        <f t="shared" si="1"/>
        <v/>
      </c>
    </row>
    <row r="76" spans="1:8" x14ac:dyDescent="0.2">
      <c r="H76" s="35" t="str">
        <f t="shared" si="1"/>
        <v/>
      </c>
    </row>
    <row r="77" spans="1:8" x14ac:dyDescent="0.2">
      <c r="H77" s="35" t="str">
        <f t="shared" si="1"/>
        <v/>
      </c>
    </row>
    <row r="78" spans="1:8" x14ac:dyDescent="0.2">
      <c r="H78" s="35" t="str">
        <f t="shared" si="1"/>
        <v/>
      </c>
    </row>
    <row r="79" spans="1:8" x14ac:dyDescent="0.2">
      <c r="H79" s="35" t="str">
        <f t="shared" si="1"/>
        <v/>
      </c>
    </row>
    <row r="80" spans="1:8" x14ac:dyDescent="0.2">
      <c r="H80" s="35" t="str">
        <f t="shared" si="1"/>
        <v/>
      </c>
    </row>
    <row r="81" spans="8:8" x14ac:dyDescent="0.2">
      <c r="H81" s="35" t="str">
        <f t="shared" si="1"/>
        <v/>
      </c>
    </row>
    <row r="82" spans="8:8" x14ac:dyDescent="0.2">
      <c r="H82" s="35" t="str">
        <f t="shared" si="1"/>
        <v/>
      </c>
    </row>
    <row r="83" spans="8:8" x14ac:dyDescent="0.2">
      <c r="H83" s="35" t="str">
        <f t="shared" si="1"/>
        <v/>
      </c>
    </row>
    <row r="84" spans="8:8" x14ac:dyDescent="0.2">
      <c r="H84" s="35" t="str">
        <f t="shared" si="1"/>
        <v/>
      </c>
    </row>
    <row r="85" spans="8:8" x14ac:dyDescent="0.2">
      <c r="H85" s="35" t="str">
        <f t="shared" si="1"/>
        <v/>
      </c>
    </row>
    <row r="86" spans="8:8" x14ac:dyDescent="0.2">
      <c r="H86" s="35" t="str">
        <f t="shared" si="1"/>
        <v/>
      </c>
    </row>
    <row r="87" spans="8:8" x14ac:dyDescent="0.2">
      <c r="H87" s="35" t="str">
        <f t="shared" si="1"/>
        <v/>
      </c>
    </row>
    <row r="88" spans="8:8" x14ac:dyDescent="0.2">
      <c r="H88" s="35" t="str">
        <f t="shared" si="1"/>
        <v/>
      </c>
    </row>
    <row r="89" spans="8:8" x14ac:dyDescent="0.2">
      <c r="H89" s="35" t="str">
        <f t="shared" si="1"/>
        <v/>
      </c>
    </row>
    <row r="90" spans="8:8" x14ac:dyDescent="0.2">
      <c r="H90" s="35" t="str">
        <f t="shared" si="1"/>
        <v/>
      </c>
    </row>
    <row r="91" spans="8:8" x14ac:dyDescent="0.2">
      <c r="H91" s="35" t="str">
        <f t="shared" si="1"/>
        <v/>
      </c>
    </row>
    <row r="92" spans="8:8" x14ac:dyDescent="0.2">
      <c r="H92" s="35" t="str">
        <f t="shared" si="1"/>
        <v/>
      </c>
    </row>
    <row r="93" spans="8:8" x14ac:dyDescent="0.2">
      <c r="H93" s="35" t="str">
        <f t="shared" si="1"/>
        <v/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H77"/>
  <sheetViews>
    <sheetView topLeftCell="A57" workbookViewId="0">
      <selection activeCell="M78" sqref="M78"/>
    </sheetView>
  </sheetViews>
  <sheetFormatPr baseColWidth="10" defaultColWidth="8.83203125" defaultRowHeight="15" x14ac:dyDescent="0.2"/>
  <cols>
    <col min="1" max="2" width="15.1640625" bestFit="1" customWidth="1"/>
    <col min="3" max="4" width="2.5" bestFit="1" customWidth="1"/>
    <col min="6" max="7" width="3.33203125" style="35" bestFit="1" customWidth="1"/>
    <col min="8" max="8" width="5.1640625" style="35" bestFit="1" customWidth="1"/>
  </cols>
  <sheetData>
    <row r="1" spans="1:8" x14ac:dyDescent="0.2">
      <c r="A1" s="4" t="s">
        <v>9</v>
      </c>
      <c r="C1" s="5" t="s">
        <v>2</v>
      </c>
      <c r="D1" s="5"/>
      <c r="E1" s="37" t="s">
        <v>127</v>
      </c>
      <c r="F1" s="35" t="str">
        <f ca="1">IF(OR(OR($A1="",$B1=""),AND($C1&lt;&gt;"",$D1&lt;&gt;"")),"",VLOOKUP(A1,IF({1,0},INDIRECT("达修波得!$"&amp;$E$1&amp;"$2:$"&amp;$E$1&amp;"$8"),达修波得!$A$2:$A$8),2,FALSE))</f>
        <v/>
      </c>
      <c r="G1" s="35" t="str">
        <f ca="1">IF(OR(OR($A1="",$B1=""),AND($C1&lt;&gt;"",$D1&lt;&gt;"")),"",VLOOKUP(B1,IF({1,0},INDIRECT("达修波得!$"&amp;$E$1&amp;"$2:$"&amp;$E$1&amp;"$8"),达修波得!$A$2:$A$8),2,FALSE))</f>
        <v/>
      </c>
      <c r="H1" s="35" t="str">
        <f ca="1">F1&amp;G1</f>
        <v/>
      </c>
    </row>
    <row r="2" spans="1:8" x14ac:dyDescent="0.2">
      <c r="A2" t="s">
        <v>85</v>
      </c>
      <c r="B2" t="s">
        <v>126</v>
      </c>
      <c r="F2" s="35" t="str">
        <f ca="1">IF(OR(OR($A2="",$B2=""),AND($C2&lt;&gt;"",$D2&lt;&gt;"")),"",VLOOKUP(A2,IF({1,0},INDIRECT("达修波得!$"&amp;$E$1&amp;"$2:$"&amp;$E$1&amp;"$15"),达修波得!$A$2:$A$15),2,FALSE))</f>
        <v>黑2</v>
      </c>
      <c r="G2" s="35" t="str">
        <f ca="1">IF(OR(OR($A2="",$B2=""),AND($C2&lt;&gt;"",$D2&lt;&gt;"")),"",VLOOKUP(B2,IF({1,0},INDIRECT("达修波得!$"&amp;$E$1&amp;"$2:$"&amp;$E$1&amp;"$15"),达修波得!$A$2:$A$15),2,FALSE))</f>
        <v>宇</v>
      </c>
      <c r="H2" s="35" t="str">
        <f t="shared" ref="H2" ca="1" si="0">F2&amp;G2</f>
        <v>黑2宇</v>
      </c>
    </row>
    <row r="3" spans="1:8" x14ac:dyDescent="0.2">
      <c r="A3" t="s">
        <v>61</v>
      </c>
      <c r="B3" t="s">
        <v>116</v>
      </c>
      <c r="C3">
        <v>2</v>
      </c>
      <c r="D3">
        <v>3</v>
      </c>
      <c r="F3" s="35" t="str">
        <f ca="1">IF(OR(OR($A3="",$B3=""),AND($C3&lt;&gt;"",$D3&lt;&gt;"")),"",VLOOKUP(A3,IF({1,0},INDIRECT("达修波得!$"&amp;$E$1&amp;"$2:$"&amp;$E$1&amp;"$15"),达修波得!$A$2:$A$15),2,FALSE))</f>
        <v/>
      </c>
      <c r="G3" s="35" t="str">
        <f ca="1">IF(OR(OR($A3="",$B3=""),AND($C3&lt;&gt;"",$D3&lt;&gt;"")),"",VLOOKUP(B3,IF({1,0},INDIRECT("达修波得!$"&amp;$E$1&amp;"$2:$"&amp;$E$1&amp;"$15"),达修波得!$A$2:$A$15),2,FALSE))</f>
        <v/>
      </c>
      <c r="H3" s="35" t="str">
        <f t="shared" ref="H3:H66" ca="1" si="1">F3&amp;G3</f>
        <v/>
      </c>
    </row>
    <row r="4" spans="1:8" x14ac:dyDescent="0.2">
      <c r="A4" t="s">
        <v>40</v>
      </c>
      <c r="B4" t="s">
        <v>76</v>
      </c>
      <c r="C4">
        <v>0</v>
      </c>
      <c r="D4">
        <v>0</v>
      </c>
      <c r="F4" s="35" t="str">
        <f ca="1">IF(OR(OR($A4="",$B4=""),AND($C4&lt;&gt;"",$D4&lt;&gt;"")),"",VLOOKUP(A4,IF({1,0},INDIRECT("达修波得!$"&amp;$E$1&amp;"$2:$"&amp;$E$1&amp;"$15"),达修波得!$A$2:$A$15),2,FALSE))</f>
        <v/>
      </c>
      <c r="G4" s="35" t="str">
        <f ca="1">IF(OR(OR($A4="",$B4=""),AND($C4&lt;&gt;"",$D4&lt;&gt;"")),"",VLOOKUP(B4,IF({1,0},INDIRECT("达修波得!$"&amp;$E$1&amp;"$2:$"&amp;$E$1&amp;"$15"),达修波得!$A$2:$A$15),2,FALSE))</f>
        <v/>
      </c>
      <c r="H4" s="35" t="str">
        <f t="shared" ca="1" si="1"/>
        <v/>
      </c>
    </row>
    <row r="5" spans="1:8" x14ac:dyDescent="0.2">
      <c r="A5" t="s">
        <v>29</v>
      </c>
      <c r="B5" t="s">
        <v>124</v>
      </c>
      <c r="C5">
        <v>0</v>
      </c>
      <c r="D5">
        <v>3</v>
      </c>
      <c r="F5" s="35" t="str">
        <f ca="1">IF(OR(OR($A5="",$B5=""),AND($C5&lt;&gt;"",$D5&lt;&gt;"")),"",VLOOKUP(A5,IF({1,0},INDIRECT("达修波得!$"&amp;$E$1&amp;"$2:$"&amp;$E$1&amp;"$15"),达修波得!$A$2:$A$15),2,FALSE))</f>
        <v/>
      </c>
      <c r="G5" s="35" t="str">
        <f ca="1">IF(OR(OR($A5="",$B5=""),AND($C5&lt;&gt;"",$D5&lt;&gt;"")),"",VLOOKUP(B5,IF({1,0},INDIRECT("达修波得!$"&amp;$E$1&amp;"$2:$"&amp;$E$1&amp;"$15"),达修波得!$A$2:$A$15),2,FALSE))</f>
        <v/>
      </c>
      <c r="H5" s="35" t="str">
        <f t="shared" ca="1" si="1"/>
        <v/>
      </c>
    </row>
    <row r="6" spans="1:8" x14ac:dyDescent="0.2">
      <c r="A6" s="51" t="s">
        <v>60</v>
      </c>
      <c r="B6" s="51" t="s">
        <v>113</v>
      </c>
      <c r="C6">
        <v>4</v>
      </c>
      <c r="D6">
        <v>3</v>
      </c>
      <c r="F6" s="35" t="str">
        <f ca="1">IF(OR(OR($A6="",$B6=""),AND($C6&lt;&gt;"",$D6&lt;&gt;"")),"",VLOOKUP(A6,IF({1,0},INDIRECT("达修波得!$"&amp;$E$1&amp;"$2:$"&amp;$E$1&amp;"$15"),达修波得!$A$2:$A$15),2,FALSE))</f>
        <v/>
      </c>
      <c r="G6" s="35" t="str">
        <f ca="1">IF(OR(OR($A6="",$B6=""),AND($C6&lt;&gt;"",$D6&lt;&gt;"")),"",VLOOKUP(B6,IF({1,0},INDIRECT("达修波得!$"&amp;$E$1&amp;"$2:$"&amp;$E$1&amp;"$15"),达修波得!$A$2:$A$15),2,FALSE))</f>
        <v/>
      </c>
      <c r="H6" s="35" t="str">
        <f t="shared" ca="1" si="1"/>
        <v/>
      </c>
    </row>
    <row r="7" spans="1:8" x14ac:dyDescent="0.2">
      <c r="A7" s="51" t="s">
        <v>97</v>
      </c>
      <c r="B7" s="51" t="s">
        <v>95</v>
      </c>
      <c r="C7">
        <v>1</v>
      </c>
      <c r="D7">
        <v>3</v>
      </c>
      <c r="F7" s="35" t="str">
        <f ca="1">IF(OR(OR($A7="",$B7=""),AND($C7&lt;&gt;"",$D7&lt;&gt;"")),"",VLOOKUP(A7,IF({1,0},INDIRECT("达修波得!$"&amp;$E$1&amp;"$2:$"&amp;$E$1&amp;"$15"),达修波得!$A$2:$A$15),2,FALSE))</f>
        <v/>
      </c>
      <c r="G7" s="35" t="str">
        <f ca="1">IF(OR(OR($A7="",$B7=""),AND($C7&lt;&gt;"",$D7&lt;&gt;"")),"",VLOOKUP(B7,IF({1,0},INDIRECT("达修波得!$"&amp;$E$1&amp;"$2:$"&amp;$E$1&amp;"$15"),达修波得!$A$2:$A$15),2,FALSE))</f>
        <v/>
      </c>
      <c r="H7" s="35" t="str">
        <f t="shared" ca="1" si="1"/>
        <v/>
      </c>
    </row>
    <row r="8" spans="1:8" x14ac:dyDescent="0.2">
      <c r="A8" s="4" t="s">
        <v>10</v>
      </c>
      <c r="F8" s="35" t="str">
        <f ca="1">IF(OR(OR($A8="",$B8=""),AND($C8&lt;&gt;"",$D8&lt;&gt;"")),"",VLOOKUP(A8,IF({1,0},INDIRECT("达修波得!$"&amp;$E$1&amp;"$2:$"&amp;$E$1&amp;"$15"),达修波得!$A$2:$A$15),2,FALSE))</f>
        <v/>
      </c>
      <c r="G8" s="35" t="str">
        <f ca="1">IF(OR(OR($A8="",$B8=""),AND($C8&lt;&gt;"",$D8&lt;&gt;"")),"",VLOOKUP(B8,IF({1,0},INDIRECT("达修波得!$"&amp;$E$1&amp;"$2:$"&amp;$E$1&amp;"$15"),达修波得!$A$2:$A$15),2,FALSE))</f>
        <v/>
      </c>
      <c r="H8" s="35" t="str">
        <f t="shared" ca="1" si="1"/>
        <v/>
      </c>
    </row>
    <row r="9" spans="1:8" x14ac:dyDescent="0.2">
      <c r="A9" t="s">
        <v>85</v>
      </c>
      <c r="B9" t="s">
        <v>116</v>
      </c>
      <c r="F9" s="35" t="str">
        <f ca="1">IF(OR(OR($A9="",$B9=""),AND($C9&lt;&gt;"",$D9&lt;&gt;"")),"",VLOOKUP(A9,IF({1,0},INDIRECT("达修波得!$"&amp;$E$1&amp;"$2:$"&amp;$E$1&amp;"$15"),达修波得!$A$2:$A$15),2,FALSE))</f>
        <v>黑2</v>
      </c>
      <c r="G9" s="35" t="str">
        <f ca="1">IF(OR(OR($A9="",$B9=""),AND($C9&lt;&gt;"",$D9&lt;&gt;"")),"",VLOOKUP(B9,IF({1,0},INDIRECT("达修波得!$"&amp;$E$1&amp;"$2:$"&amp;$E$1&amp;"$15"),达修波得!$A$2:$A$15),2,FALSE))</f>
        <v>二2</v>
      </c>
      <c r="H9" s="35" t="str">
        <f t="shared" ca="1" si="1"/>
        <v>黑2二2</v>
      </c>
    </row>
    <row r="10" spans="1:8" x14ac:dyDescent="0.2">
      <c r="A10" t="s">
        <v>126</v>
      </c>
      <c r="B10" t="s">
        <v>76</v>
      </c>
      <c r="F10" s="35" t="str">
        <f ca="1">IF(OR(OR($A10="",$B10=""),AND($C10&lt;&gt;"",$D10&lt;&gt;"")),"",VLOOKUP(A10,IF({1,0},INDIRECT("达修波得!$"&amp;$E$1&amp;"$2:$"&amp;$E$1&amp;"$15"),达修波得!$A$2:$A$15),2,FALSE))</f>
        <v>宇</v>
      </c>
      <c r="G10" s="35" t="str">
        <f ca="1">IF(OR(OR($A10="",$B10=""),AND($C10&lt;&gt;"",$D10&lt;&gt;"")),"",VLOOKUP(B10,IF({1,0},INDIRECT("达修波得!$"&amp;$E$1&amp;"$2:$"&amp;$E$1&amp;"$15"),达修波得!$A$2:$A$15),2,FALSE))</f>
        <v>磊</v>
      </c>
      <c r="H10" s="35" t="str">
        <f t="shared" ca="1" si="1"/>
        <v>宇磊</v>
      </c>
    </row>
    <row r="11" spans="1:8" x14ac:dyDescent="0.2">
      <c r="A11" t="s">
        <v>61</v>
      </c>
      <c r="B11" t="s">
        <v>124</v>
      </c>
      <c r="F11" s="35" t="str">
        <f ca="1">IF(OR(OR($A11="",$B11=""),AND($C11&lt;&gt;"",$D11&lt;&gt;"")),"",VLOOKUP(A11,IF({1,0},INDIRECT("达修波得!$"&amp;$E$1&amp;"$2:$"&amp;$E$1&amp;"$15"),达修波得!$A$2:$A$15),2,FALSE))</f>
        <v>爷</v>
      </c>
      <c r="G11" s="35" t="str">
        <f ca="1">IF(OR(OR($A11="",$B11=""),AND($C11&lt;&gt;"",$D11&lt;&gt;"")),"",VLOOKUP(B11,IF({1,0},INDIRECT("达修波得!$"&amp;$E$1&amp;"$2:$"&amp;$E$1&amp;"$15"),达修波得!$A$2:$A$15),2,FALSE))</f>
        <v>爷2</v>
      </c>
      <c r="H11" s="35" t="str">
        <f t="shared" ca="1" si="1"/>
        <v>爷爷2</v>
      </c>
    </row>
    <row r="12" spans="1:8" x14ac:dyDescent="0.2">
      <c r="A12" t="s">
        <v>40</v>
      </c>
      <c r="B12" t="s">
        <v>113</v>
      </c>
      <c r="C12">
        <v>0</v>
      </c>
      <c r="D12">
        <v>0</v>
      </c>
      <c r="F12" s="35" t="str">
        <f ca="1">IF(OR(OR($A12="",$B12=""),AND($C12&lt;&gt;"",$D12&lt;&gt;"")),"",VLOOKUP(A12,IF({1,0},INDIRECT("达修波得!$"&amp;$E$1&amp;"$2:$"&amp;$E$1&amp;"$15"),达修波得!$A$2:$A$15),2,FALSE))</f>
        <v/>
      </c>
      <c r="G12" s="35" t="str">
        <f ca="1">IF(OR(OR($A12="",$B12=""),AND($C12&lt;&gt;"",$D12&lt;&gt;"")),"",VLOOKUP(B12,IF({1,0},INDIRECT("达修波得!$"&amp;$E$1&amp;"$2:$"&amp;$E$1&amp;"$15"),达修波得!$A$2:$A$15),2,FALSE))</f>
        <v/>
      </c>
      <c r="H12" s="35" t="str">
        <f t="shared" ca="1" si="1"/>
        <v/>
      </c>
    </row>
    <row r="13" spans="1:8" x14ac:dyDescent="0.2">
      <c r="A13" s="51" t="s">
        <v>29</v>
      </c>
      <c r="B13" s="51" t="s">
        <v>95</v>
      </c>
      <c r="C13">
        <v>0</v>
      </c>
      <c r="D13">
        <v>3</v>
      </c>
      <c r="F13" s="35" t="str">
        <f ca="1">IF(OR(OR($A13="",$B13=""),AND($C13&lt;&gt;"",$D13&lt;&gt;"")),"",VLOOKUP(A13,IF({1,0},INDIRECT("达修波得!$"&amp;$E$1&amp;"$2:$"&amp;$E$1&amp;"$15"),达修波得!$A$2:$A$15),2,FALSE))</f>
        <v/>
      </c>
      <c r="G13" s="35" t="str">
        <f ca="1">IF(OR(OR($A13="",$B13=""),AND($C13&lt;&gt;"",$D13&lt;&gt;"")),"",VLOOKUP(B13,IF({1,0},INDIRECT("达修波得!$"&amp;$E$1&amp;"$2:$"&amp;$E$1&amp;"$15"),达修波得!$A$2:$A$15),2,FALSE))</f>
        <v/>
      </c>
      <c r="H13" s="35" t="str">
        <f t="shared" ca="1" si="1"/>
        <v/>
      </c>
    </row>
    <row r="14" spans="1:8" x14ac:dyDescent="0.2">
      <c r="A14" s="51" t="s">
        <v>60</v>
      </c>
      <c r="B14" s="51" t="s">
        <v>97</v>
      </c>
      <c r="C14">
        <v>0</v>
      </c>
      <c r="D14">
        <v>1</v>
      </c>
      <c r="F14" s="35" t="str">
        <f ca="1">IF(OR(OR($A14="",$B14=""),AND($C14&lt;&gt;"",$D14&lt;&gt;"")),"",VLOOKUP(A14,IF({1,0},INDIRECT("达修波得!$"&amp;$E$1&amp;"$2:$"&amp;$E$1&amp;"$15"),达修波得!$A$2:$A$15),2,FALSE))</f>
        <v/>
      </c>
      <c r="G14" s="35" t="str">
        <f ca="1">IF(OR(OR($A14="",$B14=""),AND($C14&lt;&gt;"",$D14&lt;&gt;"")),"",VLOOKUP(B14,IF({1,0},INDIRECT("达修波得!$"&amp;$E$1&amp;"$2:$"&amp;$E$1&amp;"$15"),达修波得!$A$2:$A$15),2,FALSE))</f>
        <v/>
      </c>
      <c r="H14" s="35" t="str">
        <f t="shared" ca="1" si="1"/>
        <v/>
      </c>
    </row>
    <row r="15" spans="1:8" x14ac:dyDescent="0.2">
      <c r="A15" s="4" t="s">
        <v>11</v>
      </c>
      <c r="F15" s="35" t="str">
        <f ca="1">IF(OR(OR($A15="",$B15=""),AND($C15&lt;&gt;"",$D15&lt;&gt;"")),"",VLOOKUP(A15,IF({1,0},INDIRECT("达修波得!$"&amp;$E$1&amp;"$2:$"&amp;$E$1&amp;"$15"),达修波得!$A$2:$A$15),2,FALSE))</f>
        <v/>
      </c>
      <c r="G15" s="35" t="str">
        <f ca="1">IF(OR(OR($A15="",$B15=""),AND($C15&lt;&gt;"",$D15&lt;&gt;"")),"",VLOOKUP(B15,IF({1,0},INDIRECT("达修波得!$"&amp;$E$1&amp;"$2:$"&amp;$E$1&amp;"$15"),达修波得!$A$2:$A$15),2,FALSE))</f>
        <v/>
      </c>
      <c r="H15" s="35" t="str">
        <f t="shared" ca="1" si="1"/>
        <v/>
      </c>
    </row>
    <row r="16" spans="1:8" x14ac:dyDescent="0.2">
      <c r="A16" t="s">
        <v>85</v>
      </c>
      <c r="B16" t="s">
        <v>76</v>
      </c>
      <c r="F16" s="35" t="str">
        <f ca="1">IF(OR(OR($A16="",$B16=""),AND($C16&lt;&gt;"",$D16&lt;&gt;"")),"",VLOOKUP(A16,IF({1,0},INDIRECT("达修波得!$"&amp;$E$1&amp;"$2:$"&amp;$E$1&amp;"$15"),达修波得!$A$2:$A$15),2,FALSE))</f>
        <v>黑2</v>
      </c>
      <c r="G16" s="35" t="str">
        <f ca="1">IF(OR(OR($A16="",$B16=""),AND($C16&lt;&gt;"",$D16&lt;&gt;"")),"",VLOOKUP(B16,IF({1,0},INDIRECT("达修波得!$"&amp;$E$1&amp;"$2:$"&amp;$E$1&amp;"$15"),达修波得!$A$2:$A$15),2,FALSE))</f>
        <v>磊</v>
      </c>
      <c r="H16" s="35" t="str">
        <f t="shared" ca="1" si="1"/>
        <v>黑2磊</v>
      </c>
    </row>
    <row r="17" spans="1:8" x14ac:dyDescent="0.2">
      <c r="A17" t="s">
        <v>116</v>
      </c>
      <c r="B17" t="s">
        <v>124</v>
      </c>
      <c r="C17">
        <v>2</v>
      </c>
      <c r="D17">
        <v>0</v>
      </c>
      <c r="F17" s="35" t="str">
        <f ca="1">IF(OR(OR($A17="",$B17=""),AND($C17&lt;&gt;"",$D17&lt;&gt;"")),"",VLOOKUP(A17,IF({1,0},INDIRECT("达修波得!$"&amp;$E$1&amp;"$2:$"&amp;$E$1&amp;"$15"),达修波得!$A$2:$A$15),2,FALSE))</f>
        <v/>
      </c>
      <c r="G17" s="35" t="str">
        <f ca="1">IF(OR(OR($A17="",$B17=""),AND($C17&lt;&gt;"",$D17&lt;&gt;"")),"",VLOOKUP(B17,IF({1,0},INDIRECT("达修波得!$"&amp;$E$1&amp;"$2:$"&amp;$E$1&amp;"$15"),达修波得!$A$2:$A$15),2,FALSE))</f>
        <v/>
      </c>
      <c r="H17" s="35" t="str">
        <f t="shared" ca="1" si="1"/>
        <v/>
      </c>
    </row>
    <row r="18" spans="1:8" x14ac:dyDescent="0.2">
      <c r="A18" t="s">
        <v>126</v>
      </c>
      <c r="B18" t="s">
        <v>113</v>
      </c>
      <c r="C18">
        <v>0</v>
      </c>
      <c r="D18">
        <v>2</v>
      </c>
      <c r="F18" s="35" t="str">
        <f ca="1">IF(OR(OR($A18="",$B18=""),AND($C18&lt;&gt;"",$D18&lt;&gt;"")),"",VLOOKUP(A18,IF({1,0},INDIRECT("达修波得!$"&amp;$E$1&amp;"$2:$"&amp;$E$1&amp;"$15"),达修波得!$A$2:$A$15),2,FALSE))</f>
        <v/>
      </c>
      <c r="G18" s="35" t="str">
        <f ca="1">IF(OR(OR($A18="",$B18=""),AND($C18&lt;&gt;"",$D18&lt;&gt;"")),"",VLOOKUP(B18,IF({1,0},INDIRECT("达修波得!$"&amp;$E$1&amp;"$2:$"&amp;$E$1&amp;"$15"),达修波得!$A$2:$A$15),2,FALSE))</f>
        <v/>
      </c>
      <c r="H18" s="35" t="str">
        <f t="shared" ca="1" si="1"/>
        <v/>
      </c>
    </row>
    <row r="19" spans="1:8" x14ac:dyDescent="0.2">
      <c r="A19" t="s">
        <v>61</v>
      </c>
      <c r="B19" t="s">
        <v>95</v>
      </c>
      <c r="F19" s="35" t="str">
        <f ca="1">IF(OR(OR($A19="",$B19=""),AND($C19&lt;&gt;"",$D19&lt;&gt;"")),"",VLOOKUP(A19,IF({1,0},INDIRECT("达修波得!$"&amp;$E$1&amp;"$2:$"&amp;$E$1&amp;"$15"),达修波得!$A$2:$A$15),2,FALSE))</f>
        <v>爷</v>
      </c>
      <c r="G19" s="35" t="str">
        <f ca="1">IF(OR(OR($A19="",$B19=""),AND($C19&lt;&gt;"",$D19&lt;&gt;"")),"",VLOOKUP(B19,IF({1,0},INDIRECT("达修波得!$"&amp;$E$1&amp;"$2:$"&amp;$E$1&amp;"$15"),达修波得!$A$2:$A$15),2,FALSE))</f>
        <v>贝2</v>
      </c>
      <c r="H19" s="35" t="str">
        <f t="shared" ca="1" si="1"/>
        <v>爷贝2</v>
      </c>
    </row>
    <row r="20" spans="1:8" x14ac:dyDescent="0.2">
      <c r="A20" s="51" t="s">
        <v>40</v>
      </c>
      <c r="B20" s="51" t="s">
        <v>97</v>
      </c>
      <c r="F20" s="35" t="str">
        <f ca="1">IF(OR(OR($A20="",$B20=""),AND($C20&lt;&gt;"",$D20&lt;&gt;"")),"",VLOOKUP(A20,IF({1,0},INDIRECT("达修波得!$"&amp;$E$1&amp;"$2:$"&amp;$E$1&amp;"$15"),达修波得!$A$2:$A$15),2,FALSE))</f>
        <v>二</v>
      </c>
      <c r="G20" s="35" t="str">
        <f ca="1">IF(OR(OR($A20="",$B20=""),AND($C20&lt;&gt;"",$D20&lt;&gt;"")),"",VLOOKUP(B20,IF({1,0},INDIRECT("达修波得!$"&amp;$E$1&amp;"$2:$"&amp;$E$1&amp;"$15"),达修波得!$A$2:$A$15),2,FALSE))</f>
        <v>磊2</v>
      </c>
      <c r="H20" s="35" t="str">
        <f t="shared" ca="1" si="1"/>
        <v>二磊2</v>
      </c>
    </row>
    <row r="21" spans="1:8" x14ac:dyDescent="0.2">
      <c r="A21" s="51" t="s">
        <v>29</v>
      </c>
      <c r="B21" s="51" t="s">
        <v>60</v>
      </c>
      <c r="C21">
        <v>2</v>
      </c>
      <c r="D21">
        <v>2</v>
      </c>
      <c r="F21" s="35" t="str">
        <f ca="1">IF(OR(OR($A21="",$B21=""),AND($C21&lt;&gt;"",$D21&lt;&gt;"")),"",VLOOKUP(A21,IF({1,0},INDIRECT("达修波得!$"&amp;$E$1&amp;"$2:$"&amp;$E$1&amp;"$15"),达修波得!$A$2:$A$15),2,FALSE))</f>
        <v/>
      </c>
      <c r="G21" s="35" t="str">
        <f ca="1">IF(OR(OR($A21="",$B21=""),AND($C21&lt;&gt;"",$D21&lt;&gt;"")),"",VLOOKUP(B21,IF({1,0},INDIRECT("达修波得!$"&amp;$E$1&amp;"$2:$"&amp;$E$1&amp;"$15"),达修波得!$A$2:$A$15),2,FALSE))</f>
        <v/>
      </c>
      <c r="H21" s="35" t="str">
        <f t="shared" ca="1" si="1"/>
        <v/>
      </c>
    </row>
    <row r="22" spans="1:8" x14ac:dyDescent="0.2">
      <c r="A22" s="4" t="s">
        <v>15</v>
      </c>
      <c r="F22" s="35" t="str">
        <f ca="1">IF(OR(OR($A22="",$B22=""),AND($C22&lt;&gt;"",$D22&lt;&gt;"")),"",VLOOKUP(A22,IF({1,0},INDIRECT("达修波得!$"&amp;$E$1&amp;"$2:$"&amp;$E$1&amp;"$15"),达修波得!$A$2:$A$15),2,FALSE))</f>
        <v/>
      </c>
      <c r="G22" s="35" t="str">
        <f ca="1">IF(OR(OR($A22="",$B22=""),AND($C22&lt;&gt;"",$D22&lt;&gt;"")),"",VLOOKUP(B22,IF({1,0},INDIRECT("达修波得!$"&amp;$E$1&amp;"$2:$"&amp;$E$1&amp;"$15"),达修波得!$A$2:$A$15),2,FALSE))</f>
        <v/>
      </c>
      <c r="H22" s="35" t="str">
        <f t="shared" ca="1" si="1"/>
        <v/>
      </c>
    </row>
    <row r="23" spans="1:8" x14ac:dyDescent="0.2">
      <c r="A23" t="s">
        <v>85</v>
      </c>
      <c r="B23" t="s">
        <v>124</v>
      </c>
      <c r="C23">
        <v>1</v>
      </c>
      <c r="D23">
        <v>1</v>
      </c>
      <c r="F23" s="35" t="str">
        <f ca="1">IF(OR(OR($A23="",$B23=""),AND($C23&lt;&gt;"",$D23&lt;&gt;"")),"",VLOOKUP(A23,IF({1,0},INDIRECT("达修波得!$"&amp;$E$1&amp;"$2:$"&amp;$E$1&amp;"$15"),达修波得!$A$2:$A$15),2,FALSE))</f>
        <v/>
      </c>
      <c r="G23" s="35" t="str">
        <f ca="1">IF(OR(OR($A23="",$B23=""),AND($C23&lt;&gt;"",$D23&lt;&gt;"")),"",VLOOKUP(B23,IF({1,0},INDIRECT("达修波得!$"&amp;$E$1&amp;"$2:$"&amp;$E$1&amp;"$15"),达修波得!$A$2:$A$15),2,FALSE))</f>
        <v/>
      </c>
      <c r="H23" s="35" t="str">
        <f t="shared" ca="1" si="1"/>
        <v/>
      </c>
    </row>
    <row r="24" spans="1:8" x14ac:dyDescent="0.2">
      <c r="A24" t="s">
        <v>76</v>
      </c>
      <c r="B24" t="s">
        <v>113</v>
      </c>
      <c r="C24">
        <v>2</v>
      </c>
      <c r="D24">
        <v>1</v>
      </c>
      <c r="F24" s="35" t="str">
        <f ca="1">IF(OR(OR($A24="",$B24=""),AND($C24&lt;&gt;"",$D24&lt;&gt;"")),"",VLOOKUP(A24,IF({1,0},INDIRECT("达修波得!$"&amp;$E$1&amp;"$2:$"&amp;$E$1&amp;"$15"),达修波得!$A$2:$A$15),2,FALSE))</f>
        <v/>
      </c>
      <c r="G24" s="35" t="str">
        <f ca="1">IF(OR(OR($A24="",$B24=""),AND($C24&lt;&gt;"",$D24&lt;&gt;"")),"",VLOOKUP(B24,IF({1,0},INDIRECT("达修波得!$"&amp;$E$1&amp;"$2:$"&amp;$E$1&amp;"$15"),达修波得!$A$2:$A$15),2,FALSE))</f>
        <v/>
      </c>
      <c r="H24" s="35" t="str">
        <f t="shared" ca="1" si="1"/>
        <v/>
      </c>
    </row>
    <row r="25" spans="1:8" x14ac:dyDescent="0.2">
      <c r="A25" t="s">
        <v>116</v>
      </c>
      <c r="B25" t="s">
        <v>95</v>
      </c>
      <c r="C25">
        <v>1</v>
      </c>
      <c r="D25">
        <v>2</v>
      </c>
      <c r="F25" s="35" t="str">
        <f ca="1">IF(OR(OR($A25="",$B25=""),AND($C25&lt;&gt;"",$D25&lt;&gt;"")),"",VLOOKUP(A25,IF({1,0},INDIRECT("达修波得!$"&amp;$E$1&amp;"$2:$"&amp;$E$1&amp;"$15"),达修波得!$A$2:$A$15),2,FALSE))</f>
        <v/>
      </c>
      <c r="G25" s="35" t="str">
        <f ca="1">IF(OR(OR($A25="",$B25=""),AND($C25&lt;&gt;"",$D25&lt;&gt;"")),"",VLOOKUP(B25,IF({1,0},INDIRECT("达修波得!$"&amp;$E$1&amp;"$2:$"&amp;$E$1&amp;"$15"),达修波得!$A$2:$A$15),2,FALSE))</f>
        <v/>
      </c>
      <c r="H25" s="35" t="str">
        <f t="shared" ca="1" si="1"/>
        <v/>
      </c>
    </row>
    <row r="26" spans="1:8" x14ac:dyDescent="0.2">
      <c r="A26" t="s">
        <v>126</v>
      </c>
      <c r="B26" t="s">
        <v>97</v>
      </c>
      <c r="F26" s="35" t="str">
        <f ca="1">IF(OR(OR($A26="",$B26=""),AND($C26&lt;&gt;"",$D26&lt;&gt;"")),"",VLOOKUP(A26,IF({1,0},INDIRECT("达修波得!$"&amp;$E$1&amp;"$2:$"&amp;$E$1&amp;"$15"),达修波得!$A$2:$A$15),2,FALSE))</f>
        <v>宇</v>
      </c>
      <c r="G26" s="35" t="str">
        <f ca="1">IF(OR(OR($A26="",$B26=""),AND($C26&lt;&gt;"",$D26&lt;&gt;"")),"",VLOOKUP(B26,IF({1,0},INDIRECT("达修波得!$"&amp;$E$1&amp;"$2:$"&amp;$E$1&amp;"$15"),达修波得!$A$2:$A$15),2,FALSE))</f>
        <v>磊2</v>
      </c>
      <c r="H26" s="35" t="str">
        <f t="shared" ca="1" si="1"/>
        <v>宇磊2</v>
      </c>
    </row>
    <row r="27" spans="1:8" x14ac:dyDescent="0.2">
      <c r="A27" s="51" t="s">
        <v>61</v>
      </c>
      <c r="B27" s="51" t="s">
        <v>60</v>
      </c>
      <c r="C27">
        <v>1</v>
      </c>
      <c r="D27">
        <v>2</v>
      </c>
      <c r="F27" s="35" t="str">
        <f ca="1">IF(OR(OR($A27="",$B27=""),AND($C27&lt;&gt;"",$D27&lt;&gt;"")),"",VLOOKUP(A27,IF({1,0},INDIRECT("达修波得!$"&amp;$E$1&amp;"$2:$"&amp;$E$1&amp;"$15"),达修波得!$A$2:$A$15),2,FALSE))</f>
        <v/>
      </c>
      <c r="G27" s="35" t="str">
        <f ca="1">IF(OR(OR($A27="",$B27=""),AND($C27&lt;&gt;"",$D27&lt;&gt;"")),"",VLOOKUP(B27,IF({1,0},INDIRECT("达修波得!$"&amp;$E$1&amp;"$2:$"&amp;$E$1&amp;"$15"),达修波得!$A$2:$A$15),2,FALSE))</f>
        <v/>
      </c>
      <c r="H27" s="35" t="str">
        <f t="shared" ca="1" si="1"/>
        <v/>
      </c>
    </row>
    <row r="28" spans="1:8" x14ac:dyDescent="0.2">
      <c r="A28" s="51" t="s">
        <v>40</v>
      </c>
      <c r="B28" s="51" t="s">
        <v>29</v>
      </c>
      <c r="F28" s="35" t="str">
        <f ca="1">IF(OR(OR($A28="",$B28=""),AND($C28&lt;&gt;"",$D28&lt;&gt;"")),"",VLOOKUP(A28,IF({1,0},INDIRECT("达修波得!$"&amp;$E$1&amp;"$2:$"&amp;$E$1&amp;"$15"),达修波得!$A$2:$A$15),2,FALSE))</f>
        <v>二</v>
      </c>
      <c r="G28" s="35" t="str">
        <f ca="1">IF(OR(OR($A28="",$B28=""),AND($C28&lt;&gt;"",$D28&lt;&gt;"")),"",VLOOKUP(B28,IF({1,0},INDIRECT("达修波得!$"&amp;$E$1&amp;"$2:$"&amp;$E$1&amp;"$15"),达修波得!$A$2:$A$15),2,FALSE))</f>
        <v>宇2</v>
      </c>
      <c r="H28" s="35" t="str">
        <f t="shared" ca="1" si="1"/>
        <v>二宇2</v>
      </c>
    </row>
    <row r="29" spans="1:8" x14ac:dyDescent="0.2">
      <c r="A29" s="4" t="s">
        <v>16</v>
      </c>
      <c r="F29" s="35" t="str">
        <f ca="1">IF(OR(OR($A29="",$B29=""),AND($C29&lt;&gt;"",$D29&lt;&gt;"")),"",VLOOKUP(A29,IF({1,0},INDIRECT("达修波得!$"&amp;$E$1&amp;"$2:$"&amp;$E$1&amp;"$15"),达修波得!$A$2:$A$15),2,FALSE))</f>
        <v/>
      </c>
      <c r="G29" s="35" t="str">
        <f ca="1">IF(OR(OR($A29="",$B29=""),AND($C29&lt;&gt;"",$D29&lt;&gt;"")),"",VLOOKUP(B29,IF({1,0},INDIRECT("达修波得!$"&amp;$E$1&amp;"$2:$"&amp;$E$1&amp;"$15"),达修波得!$A$2:$A$15),2,FALSE))</f>
        <v/>
      </c>
      <c r="H29" s="35" t="str">
        <f t="shared" ca="1" si="1"/>
        <v/>
      </c>
    </row>
    <row r="30" spans="1:8" x14ac:dyDescent="0.2">
      <c r="A30" t="s">
        <v>85</v>
      </c>
      <c r="B30" t="s">
        <v>113</v>
      </c>
      <c r="C30">
        <v>2</v>
      </c>
      <c r="D30">
        <v>3</v>
      </c>
      <c r="F30" s="35" t="str">
        <f ca="1">IF(OR(OR($A30="",$B30=""),AND($C30&lt;&gt;"",$D30&lt;&gt;"")),"",VLOOKUP(A30,IF({1,0},INDIRECT("达修波得!$"&amp;$E$1&amp;"$2:$"&amp;$E$1&amp;"$15"),达修波得!$A$2:$A$15),2,FALSE))</f>
        <v/>
      </c>
      <c r="G30" s="35" t="str">
        <f ca="1">IF(OR(OR($A30="",$B30=""),AND($C30&lt;&gt;"",$D30&lt;&gt;"")),"",VLOOKUP(B30,IF({1,0},INDIRECT("达修波得!$"&amp;$E$1&amp;"$2:$"&amp;$E$1&amp;"$15"),达修波得!$A$2:$A$15),2,FALSE))</f>
        <v/>
      </c>
      <c r="H30" s="35" t="str">
        <f t="shared" ca="1" si="1"/>
        <v/>
      </c>
    </row>
    <row r="31" spans="1:8" x14ac:dyDescent="0.2">
      <c r="A31" t="s">
        <v>124</v>
      </c>
      <c r="B31" t="s">
        <v>95</v>
      </c>
      <c r="F31" s="35" t="str">
        <f ca="1">IF(OR(OR($A31="",$B31=""),AND($C31&lt;&gt;"",$D31&lt;&gt;"")),"",VLOOKUP(A31,IF({1,0},INDIRECT("达修波得!$"&amp;$E$1&amp;"$2:$"&amp;$E$1&amp;"$15"),达修波得!$A$2:$A$15),2,FALSE))</f>
        <v>爷2</v>
      </c>
      <c r="G31" s="35" t="str">
        <f ca="1">IF(OR(OR($A31="",$B31=""),AND($C31&lt;&gt;"",$D31&lt;&gt;"")),"",VLOOKUP(B31,IF({1,0},INDIRECT("达修波得!$"&amp;$E$1&amp;"$2:$"&amp;$E$1&amp;"$15"),达修波得!$A$2:$A$15),2,FALSE))</f>
        <v>贝2</v>
      </c>
      <c r="H31" s="35" t="str">
        <f t="shared" ca="1" si="1"/>
        <v>爷2贝2</v>
      </c>
    </row>
    <row r="32" spans="1:8" x14ac:dyDescent="0.2">
      <c r="A32" t="s">
        <v>76</v>
      </c>
      <c r="B32" t="s">
        <v>97</v>
      </c>
      <c r="F32" s="35" t="str">
        <f ca="1">IF(OR(OR($A32="",$B32=""),AND($C32&lt;&gt;"",$D32&lt;&gt;"")),"",VLOOKUP(A32,IF({1,0},INDIRECT("达修波得!$"&amp;$E$1&amp;"$2:$"&amp;$E$1&amp;"$15"),达修波得!$A$2:$A$15),2,FALSE))</f>
        <v>磊</v>
      </c>
      <c r="G32" s="35" t="str">
        <f ca="1">IF(OR(OR($A32="",$B32=""),AND($C32&lt;&gt;"",$D32&lt;&gt;"")),"",VLOOKUP(B32,IF({1,0},INDIRECT("达修波得!$"&amp;$E$1&amp;"$2:$"&amp;$E$1&amp;"$15"),达修波得!$A$2:$A$15),2,FALSE))</f>
        <v>磊2</v>
      </c>
      <c r="H32" s="35" t="str">
        <f t="shared" ca="1" si="1"/>
        <v>磊磊2</v>
      </c>
    </row>
    <row r="33" spans="1:8" x14ac:dyDescent="0.2">
      <c r="A33" t="s">
        <v>116</v>
      </c>
      <c r="B33" t="s">
        <v>60</v>
      </c>
      <c r="C33">
        <v>0</v>
      </c>
      <c r="D33">
        <v>0</v>
      </c>
      <c r="F33" s="35" t="str">
        <f ca="1">IF(OR(OR($A33="",$B33=""),AND($C33&lt;&gt;"",$D33&lt;&gt;"")),"",VLOOKUP(A33,IF({1,0},INDIRECT("达修波得!$"&amp;$E$1&amp;"$2:$"&amp;$E$1&amp;"$15"),达修波得!$A$2:$A$15),2,FALSE))</f>
        <v/>
      </c>
      <c r="G33" s="35" t="str">
        <f ca="1">IF(OR(OR($A33="",$B33=""),AND($C33&lt;&gt;"",$D33&lt;&gt;"")),"",VLOOKUP(B33,IF({1,0},INDIRECT("达修波得!$"&amp;$E$1&amp;"$2:$"&amp;$E$1&amp;"$15"),达修波得!$A$2:$A$15),2,FALSE))</f>
        <v/>
      </c>
      <c r="H33" s="35" t="str">
        <f t="shared" ca="1" si="1"/>
        <v/>
      </c>
    </row>
    <row r="34" spans="1:8" x14ac:dyDescent="0.2">
      <c r="A34" s="51" t="s">
        <v>126</v>
      </c>
      <c r="B34" s="51" t="s">
        <v>29</v>
      </c>
      <c r="F34" s="35" t="str">
        <f ca="1">IF(OR(OR($A34="",$B34=""),AND($C34&lt;&gt;"",$D34&lt;&gt;"")),"",VLOOKUP(A34,IF({1,0},INDIRECT("达修波得!$"&amp;$E$1&amp;"$2:$"&amp;$E$1&amp;"$15"),达修波得!$A$2:$A$15),2,FALSE))</f>
        <v>宇</v>
      </c>
      <c r="G34" s="35" t="str">
        <f ca="1">IF(OR(OR($A34="",$B34=""),AND($C34&lt;&gt;"",$D34&lt;&gt;"")),"",VLOOKUP(B34,IF({1,0},INDIRECT("达修波得!$"&amp;$E$1&amp;"$2:$"&amp;$E$1&amp;"$15"),达修波得!$A$2:$A$15),2,FALSE))</f>
        <v>宇2</v>
      </c>
      <c r="H34" s="35" t="str">
        <f t="shared" ca="1" si="1"/>
        <v>宇宇2</v>
      </c>
    </row>
    <row r="35" spans="1:8" x14ac:dyDescent="0.2">
      <c r="A35" s="51" t="s">
        <v>61</v>
      </c>
      <c r="B35" s="51" t="s">
        <v>40</v>
      </c>
      <c r="F35" s="35" t="str">
        <f ca="1">IF(OR(OR($A35="",$B35=""),AND($C35&lt;&gt;"",$D35&lt;&gt;"")),"",VLOOKUP(A35,IF({1,0},INDIRECT("达修波得!$"&amp;$E$1&amp;"$2:$"&amp;$E$1&amp;"$15"),达修波得!$A$2:$A$15),2,FALSE))</f>
        <v>爷</v>
      </c>
      <c r="G35" s="35" t="str">
        <f ca="1">IF(OR(OR($A35="",$B35=""),AND($C35&lt;&gt;"",$D35&lt;&gt;"")),"",VLOOKUP(B35,IF({1,0},INDIRECT("达修波得!$"&amp;$E$1&amp;"$2:$"&amp;$E$1&amp;"$15"),达修波得!$A$2:$A$15),2,FALSE))</f>
        <v>二</v>
      </c>
      <c r="H35" s="35" t="str">
        <f t="shared" ca="1" si="1"/>
        <v>爷二</v>
      </c>
    </row>
    <row r="36" spans="1:8" x14ac:dyDescent="0.2">
      <c r="A36" s="4" t="s">
        <v>17</v>
      </c>
      <c r="F36" s="35" t="str">
        <f ca="1">IF(OR(OR($A36="",$B36=""),AND($C36&lt;&gt;"",$D36&lt;&gt;"")),"",VLOOKUP(A36,IF({1,0},INDIRECT("达修波得!$"&amp;$E$1&amp;"$2:$"&amp;$E$1&amp;"$15"),达修波得!$A$2:$A$15),2,FALSE))</f>
        <v/>
      </c>
      <c r="G36" s="35" t="str">
        <f ca="1">IF(OR(OR($A36="",$B36=""),AND($C36&lt;&gt;"",$D36&lt;&gt;"")),"",VLOOKUP(B36,IF({1,0},INDIRECT("达修波得!$"&amp;$E$1&amp;"$2:$"&amp;$E$1&amp;"$15"),达修波得!$A$2:$A$15),2,FALSE))</f>
        <v/>
      </c>
      <c r="H36" s="35" t="str">
        <f t="shared" ca="1" si="1"/>
        <v/>
      </c>
    </row>
    <row r="37" spans="1:8" x14ac:dyDescent="0.2">
      <c r="A37" t="s">
        <v>85</v>
      </c>
      <c r="B37" t="s">
        <v>95</v>
      </c>
      <c r="C37">
        <v>2</v>
      </c>
      <c r="D37">
        <v>2</v>
      </c>
      <c r="F37" s="35" t="str">
        <f ca="1">IF(OR(OR($A37="",$B37=""),AND($C37&lt;&gt;"",$D37&lt;&gt;"")),"",VLOOKUP(A37,IF({1,0},INDIRECT("达修波得!$"&amp;$E$1&amp;"$2:$"&amp;$E$1&amp;"$15"),达修波得!$A$2:$A$15),2,FALSE))</f>
        <v/>
      </c>
      <c r="G37" s="35" t="str">
        <f ca="1">IF(OR(OR($A37="",$B37=""),AND($C37&lt;&gt;"",$D37&lt;&gt;"")),"",VLOOKUP(B37,IF({1,0},INDIRECT("达修波得!$"&amp;$E$1&amp;"$2:$"&amp;$E$1&amp;"$15"),达修波得!$A$2:$A$15),2,FALSE))</f>
        <v/>
      </c>
      <c r="H37" s="35" t="str">
        <f t="shared" ca="1" si="1"/>
        <v/>
      </c>
    </row>
    <row r="38" spans="1:8" x14ac:dyDescent="0.2">
      <c r="A38" t="s">
        <v>113</v>
      </c>
      <c r="B38" t="s">
        <v>97</v>
      </c>
      <c r="C38">
        <v>4</v>
      </c>
      <c r="D38">
        <v>0</v>
      </c>
      <c r="F38" s="35" t="str">
        <f ca="1">IF(OR(OR($A38="",$B38=""),AND($C38&lt;&gt;"",$D38&lt;&gt;"")),"",VLOOKUP(A38,IF({1,0},INDIRECT("达修波得!$"&amp;$E$1&amp;"$2:$"&amp;$E$1&amp;"$15"),达修波得!$A$2:$A$15),2,FALSE))</f>
        <v/>
      </c>
      <c r="G38" s="35" t="str">
        <f ca="1">IF(OR(OR($A38="",$B38=""),AND($C38&lt;&gt;"",$D38&lt;&gt;"")),"",VLOOKUP(B38,IF({1,0},INDIRECT("达修波得!$"&amp;$E$1&amp;"$2:$"&amp;$E$1&amp;"$15"),达修波得!$A$2:$A$15),2,FALSE))</f>
        <v/>
      </c>
      <c r="H38" s="35" t="str">
        <f t="shared" ca="1" si="1"/>
        <v/>
      </c>
    </row>
    <row r="39" spans="1:8" x14ac:dyDescent="0.2">
      <c r="A39" t="s">
        <v>124</v>
      </c>
      <c r="B39" t="s">
        <v>60</v>
      </c>
      <c r="C39">
        <v>1</v>
      </c>
      <c r="D39">
        <v>1</v>
      </c>
      <c r="F39" s="35" t="str">
        <f ca="1">IF(OR(OR($A39="",$B39=""),AND($C39&lt;&gt;"",$D39&lt;&gt;"")),"",VLOOKUP(A39,IF({1,0},INDIRECT("达修波得!$"&amp;$E$1&amp;"$2:$"&amp;$E$1&amp;"$15"),达修波得!$A$2:$A$15),2,FALSE))</f>
        <v/>
      </c>
      <c r="G39" s="35" t="str">
        <f ca="1">IF(OR(OR($A39="",$B39=""),AND($C39&lt;&gt;"",$D39&lt;&gt;"")),"",VLOOKUP(B39,IF({1,0},INDIRECT("达修波得!$"&amp;$E$1&amp;"$2:$"&amp;$E$1&amp;"$15"),达修波得!$A$2:$A$15),2,FALSE))</f>
        <v/>
      </c>
      <c r="H39" s="35" t="str">
        <f t="shared" ca="1" si="1"/>
        <v/>
      </c>
    </row>
    <row r="40" spans="1:8" x14ac:dyDescent="0.2">
      <c r="A40" t="s">
        <v>76</v>
      </c>
      <c r="B40" t="s">
        <v>29</v>
      </c>
      <c r="F40" s="35" t="str">
        <f ca="1">IF(OR(OR($A40="",$B40=""),AND($C40&lt;&gt;"",$D40&lt;&gt;"")),"",VLOOKUP(A40,IF({1,0},INDIRECT("达修波得!$"&amp;$E$1&amp;"$2:$"&amp;$E$1&amp;"$15"),达修波得!$A$2:$A$15),2,FALSE))</f>
        <v>磊</v>
      </c>
      <c r="G40" s="35" t="str">
        <f ca="1">IF(OR(OR($A40="",$B40=""),AND($C40&lt;&gt;"",$D40&lt;&gt;"")),"",VLOOKUP(B40,IF({1,0},INDIRECT("达修波得!$"&amp;$E$1&amp;"$2:$"&amp;$E$1&amp;"$15"),达修波得!$A$2:$A$15),2,FALSE))</f>
        <v>宇2</v>
      </c>
      <c r="H40" s="35" t="str">
        <f t="shared" ca="1" si="1"/>
        <v>磊宇2</v>
      </c>
    </row>
    <row r="41" spans="1:8" x14ac:dyDescent="0.2">
      <c r="A41" s="51" t="s">
        <v>116</v>
      </c>
      <c r="B41" s="51" t="s">
        <v>40</v>
      </c>
      <c r="F41" s="35" t="str">
        <f ca="1">IF(OR(OR($A41="",$B41=""),AND($C41&lt;&gt;"",$D41&lt;&gt;"")),"",VLOOKUP(A41,IF({1,0},INDIRECT("达修波得!$"&amp;$E$1&amp;"$2:$"&amp;$E$1&amp;"$15"),达修波得!$A$2:$A$15),2,FALSE))</f>
        <v>二2</v>
      </c>
      <c r="G41" s="35" t="str">
        <f ca="1">IF(OR(OR($A41="",$B41=""),AND($C41&lt;&gt;"",$D41&lt;&gt;"")),"",VLOOKUP(B41,IF({1,0},INDIRECT("达修波得!$"&amp;$E$1&amp;"$2:$"&amp;$E$1&amp;"$15"),达修波得!$A$2:$A$15),2,FALSE))</f>
        <v>二</v>
      </c>
      <c r="H41" s="35" t="str">
        <f t="shared" ca="1" si="1"/>
        <v>二2二</v>
      </c>
    </row>
    <row r="42" spans="1:8" x14ac:dyDescent="0.2">
      <c r="A42" s="51" t="s">
        <v>126</v>
      </c>
      <c r="B42" s="51" t="s">
        <v>61</v>
      </c>
      <c r="F42" s="35" t="str">
        <f ca="1">IF(OR(OR($A42="",$B42=""),AND($C42&lt;&gt;"",$D42&lt;&gt;"")),"",VLOOKUP(A42,IF({1,0},INDIRECT("达修波得!$"&amp;$E$1&amp;"$2:$"&amp;$E$1&amp;"$15"),达修波得!$A$2:$A$15),2,FALSE))</f>
        <v>宇</v>
      </c>
      <c r="G42" s="35" t="str">
        <f ca="1">IF(OR(OR($A42="",$B42=""),AND($C42&lt;&gt;"",$D42&lt;&gt;"")),"",VLOOKUP(B42,IF({1,0},INDIRECT("达修波得!$"&amp;$E$1&amp;"$2:$"&amp;$E$1&amp;"$15"),达修波得!$A$2:$A$15),2,FALSE))</f>
        <v>爷</v>
      </c>
      <c r="H42" s="35" t="str">
        <f t="shared" ca="1" si="1"/>
        <v>宇爷</v>
      </c>
    </row>
    <row r="43" spans="1:8" x14ac:dyDescent="0.2">
      <c r="A43" s="4" t="s">
        <v>18</v>
      </c>
      <c r="F43" s="35" t="str">
        <f ca="1">IF(OR(OR($A43="",$B43=""),AND($C43&lt;&gt;"",$D43&lt;&gt;"")),"",VLOOKUP(A43,IF({1,0},INDIRECT("达修波得!$"&amp;$E$1&amp;"$2:$"&amp;$E$1&amp;"$15"),达修波得!$A$2:$A$15),2,FALSE))</f>
        <v/>
      </c>
      <c r="G43" s="35" t="str">
        <f ca="1">IF(OR(OR($A43="",$B43=""),AND($C43&lt;&gt;"",$D43&lt;&gt;"")),"",VLOOKUP(B43,IF({1,0},INDIRECT("达修波得!$"&amp;$E$1&amp;"$2:$"&amp;$E$1&amp;"$15"),达修波得!$A$2:$A$15),2,FALSE))</f>
        <v/>
      </c>
      <c r="H43" s="35" t="str">
        <f t="shared" ca="1" si="1"/>
        <v/>
      </c>
    </row>
    <row r="44" spans="1:8" x14ac:dyDescent="0.2">
      <c r="A44" t="s">
        <v>85</v>
      </c>
      <c r="B44" t="s">
        <v>97</v>
      </c>
      <c r="F44" s="35" t="str">
        <f ca="1">IF(OR(OR($A44="",$B44=""),AND($C44&lt;&gt;"",$D44&lt;&gt;"")),"",VLOOKUP(A44,IF({1,0},INDIRECT("达修波得!$"&amp;$E$1&amp;"$2:$"&amp;$E$1&amp;"$15"),达修波得!$A$2:$A$15),2,FALSE))</f>
        <v>黑2</v>
      </c>
      <c r="G44" s="35" t="str">
        <f ca="1">IF(OR(OR($A44="",$B44=""),AND($C44&lt;&gt;"",$D44&lt;&gt;"")),"",VLOOKUP(B44,IF({1,0},INDIRECT("达修波得!$"&amp;$E$1&amp;"$2:$"&amp;$E$1&amp;"$15"),达修波得!$A$2:$A$15),2,FALSE))</f>
        <v>磊2</v>
      </c>
      <c r="H44" s="35" t="str">
        <f t="shared" ca="1" si="1"/>
        <v>黑2磊2</v>
      </c>
    </row>
    <row r="45" spans="1:8" x14ac:dyDescent="0.2">
      <c r="A45" t="s">
        <v>95</v>
      </c>
      <c r="B45" t="s">
        <v>60</v>
      </c>
      <c r="C45">
        <v>1</v>
      </c>
      <c r="D45">
        <v>2</v>
      </c>
      <c r="F45" s="35" t="str">
        <f ca="1">IF(OR(OR($A45="",$B45=""),AND($C45&lt;&gt;"",$D45&lt;&gt;"")),"",VLOOKUP(A45,IF({1,0},INDIRECT("达修波得!$"&amp;$E$1&amp;"$2:$"&amp;$E$1&amp;"$15"),达修波得!$A$2:$A$15),2,FALSE))</f>
        <v/>
      </c>
      <c r="G45" s="35" t="str">
        <f ca="1">IF(OR(OR($A45="",$B45=""),AND($C45&lt;&gt;"",$D45&lt;&gt;"")),"",VLOOKUP(B45,IF({1,0},INDIRECT("达修波得!$"&amp;$E$1&amp;"$2:$"&amp;$E$1&amp;"$15"),达修波得!$A$2:$A$15),2,FALSE))</f>
        <v/>
      </c>
      <c r="H45" s="35" t="str">
        <f t="shared" ca="1" si="1"/>
        <v/>
      </c>
    </row>
    <row r="46" spans="1:8" x14ac:dyDescent="0.2">
      <c r="A46" t="s">
        <v>113</v>
      </c>
      <c r="B46" t="s">
        <v>29</v>
      </c>
      <c r="C46">
        <v>5</v>
      </c>
      <c r="D46">
        <v>0</v>
      </c>
      <c r="F46" s="35" t="str">
        <f ca="1">IF(OR(OR($A46="",$B46=""),AND($C46&lt;&gt;"",$D46&lt;&gt;"")),"",VLOOKUP(A46,IF({1,0},INDIRECT("达修波得!$"&amp;$E$1&amp;"$2:$"&amp;$E$1&amp;"$15"),达修波得!$A$2:$A$15),2,FALSE))</f>
        <v/>
      </c>
      <c r="G46" s="35" t="str">
        <f ca="1">IF(OR(OR($A46="",$B46=""),AND($C46&lt;&gt;"",$D46&lt;&gt;"")),"",VLOOKUP(B46,IF({1,0},INDIRECT("达修波得!$"&amp;$E$1&amp;"$2:$"&amp;$E$1&amp;"$15"),达修波得!$A$2:$A$15),2,FALSE))</f>
        <v/>
      </c>
      <c r="H46" s="35" t="str">
        <f t="shared" ca="1" si="1"/>
        <v/>
      </c>
    </row>
    <row r="47" spans="1:8" x14ac:dyDescent="0.2">
      <c r="A47" t="s">
        <v>124</v>
      </c>
      <c r="B47" t="s">
        <v>40</v>
      </c>
      <c r="C47">
        <v>1</v>
      </c>
      <c r="D47">
        <v>2</v>
      </c>
      <c r="F47" s="35" t="str">
        <f ca="1">IF(OR(OR($A47="",$B47=""),AND($C47&lt;&gt;"",$D47&lt;&gt;"")),"",VLOOKUP(A47,IF({1,0},INDIRECT("达修波得!$"&amp;$E$1&amp;"$2:$"&amp;$E$1&amp;"$15"),达修波得!$A$2:$A$15),2,FALSE))</f>
        <v/>
      </c>
      <c r="G47" s="35" t="str">
        <f ca="1">IF(OR(OR($A47="",$B47=""),AND($C47&lt;&gt;"",$D47&lt;&gt;"")),"",VLOOKUP(B47,IF({1,0},INDIRECT("达修波得!$"&amp;$E$1&amp;"$2:$"&amp;$E$1&amp;"$15"),达修波得!$A$2:$A$15),2,FALSE))</f>
        <v/>
      </c>
      <c r="H47" s="35" t="str">
        <f t="shared" ca="1" si="1"/>
        <v/>
      </c>
    </row>
    <row r="48" spans="1:8" x14ac:dyDescent="0.2">
      <c r="A48" s="51" t="s">
        <v>76</v>
      </c>
      <c r="B48" s="51" t="s">
        <v>61</v>
      </c>
      <c r="C48">
        <v>1</v>
      </c>
      <c r="D48">
        <v>3</v>
      </c>
      <c r="F48" s="35" t="str">
        <f ca="1">IF(OR(OR($A48="",$B48=""),AND($C48&lt;&gt;"",$D48&lt;&gt;"")),"",VLOOKUP(A48,IF({1,0},INDIRECT("达修波得!$"&amp;$E$1&amp;"$2:$"&amp;$E$1&amp;"$15"),达修波得!$A$2:$A$15),2,FALSE))</f>
        <v/>
      </c>
      <c r="G48" s="35" t="str">
        <f ca="1">IF(OR(OR($A48="",$B48=""),AND($C48&lt;&gt;"",$D48&lt;&gt;"")),"",VLOOKUP(B48,IF({1,0},INDIRECT("达修波得!$"&amp;$E$1&amp;"$2:$"&amp;$E$1&amp;"$15"),达修波得!$A$2:$A$15),2,FALSE))</f>
        <v/>
      </c>
      <c r="H48" s="35" t="str">
        <f t="shared" ca="1" si="1"/>
        <v/>
      </c>
    </row>
    <row r="49" spans="1:8" x14ac:dyDescent="0.2">
      <c r="A49" s="51" t="s">
        <v>116</v>
      </c>
      <c r="B49" s="51" t="s">
        <v>126</v>
      </c>
      <c r="F49" s="35" t="str">
        <f ca="1">IF(OR(OR($A49="",$B49=""),AND($C49&lt;&gt;"",$D49&lt;&gt;"")),"",VLOOKUP(A49,IF({1,0},INDIRECT("达修波得!$"&amp;$E$1&amp;"$2:$"&amp;$E$1&amp;"$15"),达修波得!$A$2:$A$15),2,FALSE))</f>
        <v>二2</v>
      </c>
      <c r="G49" s="35" t="str">
        <f ca="1">IF(OR(OR($A49="",$B49=""),AND($C49&lt;&gt;"",$D49&lt;&gt;"")),"",VLOOKUP(B49,IF({1,0},INDIRECT("达修波得!$"&amp;$E$1&amp;"$2:$"&amp;$E$1&amp;"$15"),达修波得!$A$2:$A$15),2,FALSE))</f>
        <v>宇</v>
      </c>
      <c r="H49" s="35" t="str">
        <f t="shared" ca="1" si="1"/>
        <v>二2宇</v>
      </c>
    </row>
    <row r="50" spans="1:8" x14ac:dyDescent="0.2">
      <c r="A50" s="4" t="s">
        <v>30</v>
      </c>
      <c r="F50" s="35" t="str">
        <f ca="1">IF(OR(OR($A50="",$B50=""),AND($C50&lt;&gt;"",$D50&lt;&gt;"")),"",VLOOKUP(A50,IF({1,0},INDIRECT("达修波得!$"&amp;$E$1&amp;"$2:$"&amp;$E$1&amp;"$15"),达修波得!$A$2:$A$15),2,FALSE))</f>
        <v/>
      </c>
      <c r="G50" s="35" t="str">
        <f ca="1">IF(OR(OR($A50="",$B50=""),AND($C50&lt;&gt;"",$D50&lt;&gt;"")),"",VLOOKUP(B50,IF({1,0},INDIRECT("达修波得!$"&amp;$E$1&amp;"$2:$"&amp;$E$1&amp;"$15"),达修波得!$A$2:$A$15),2,FALSE))</f>
        <v/>
      </c>
      <c r="H50" s="35" t="str">
        <f t="shared" ca="1" si="1"/>
        <v/>
      </c>
    </row>
    <row r="51" spans="1:8" x14ac:dyDescent="0.2">
      <c r="A51" t="s">
        <v>85</v>
      </c>
      <c r="B51" t="s">
        <v>60</v>
      </c>
      <c r="F51" s="35" t="str">
        <f ca="1">IF(OR(OR($A51="",$B51=""),AND($C51&lt;&gt;"",$D51&lt;&gt;"")),"",VLOOKUP(A51,IF({1,0},INDIRECT("达修波得!$"&amp;$E$1&amp;"$2:$"&amp;$E$1&amp;"$15"),达修波得!$A$2:$A$15),2,FALSE))</f>
        <v>黑2</v>
      </c>
      <c r="G51" s="35" t="str">
        <f ca="1">IF(OR(OR($A51="",$B51=""),AND($C51&lt;&gt;"",$D51&lt;&gt;"")),"",VLOOKUP(B51,IF({1,0},INDIRECT("达修波得!$"&amp;$E$1&amp;"$2:$"&amp;$E$1&amp;"$15"),达修波得!$A$2:$A$15),2,FALSE))</f>
        <v>黑</v>
      </c>
      <c r="H51" s="35" t="str">
        <f t="shared" ca="1" si="1"/>
        <v>黑2黑</v>
      </c>
    </row>
    <row r="52" spans="1:8" x14ac:dyDescent="0.2">
      <c r="A52" t="s">
        <v>97</v>
      </c>
      <c r="B52" t="s">
        <v>29</v>
      </c>
      <c r="F52" s="35" t="str">
        <f ca="1">IF(OR(OR($A52="",$B52=""),AND($C52&lt;&gt;"",$D52&lt;&gt;"")),"",VLOOKUP(A52,IF({1,0},INDIRECT("达修波得!$"&amp;$E$1&amp;"$2:$"&amp;$E$1&amp;"$15"),达修波得!$A$2:$A$15),2,FALSE))</f>
        <v>磊2</v>
      </c>
      <c r="G52" s="35" t="str">
        <f ca="1">IF(OR(OR($A52="",$B52=""),AND($C52&lt;&gt;"",$D52&lt;&gt;"")),"",VLOOKUP(B52,IF({1,0},INDIRECT("达修波得!$"&amp;$E$1&amp;"$2:$"&amp;$E$1&amp;"$15"),达修波得!$A$2:$A$15),2,FALSE))</f>
        <v>宇2</v>
      </c>
      <c r="H52" s="35" t="str">
        <f t="shared" ca="1" si="1"/>
        <v>磊2宇2</v>
      </c>
    </row>
    <row r="53" spans="1:8" x14ac:dyDescent="0.2">
      <c r="A53" t="s">
        <v>95</v>
      </c>
      <c r="B53" t="s">
        <v>40</v>
      </c>
      <c r="F53" s="35" t="str">
        <f ca="1">IF(OR(OR($A53="",$B53=""),AND($C53&lt;&gt;"",$D53&lt;&gt;"")),"",VLOOKUP(A53,IF({1,0},INDIRECT("达修波得!$"&amp;$E$1&amp;"$2:$"&amp;$E$1&amp;"$15"),达修波得!$A$2:$A$15),2,FALSE))</f>
        <v>贝2</v>
      </c>
      <c r="G53" s="35" t="str">
        <f ca="1">IF(OR(OR($A53="",$B53=""),AND($C53&lt;&gt;"",$D53&lt;&gt;"")),"",VLOOKUP(B53,IF({1,0},INDIRECT("达修波得!$"&amp;$E$1&amp;"$2:$"&amp;$E$1&amp;"$15"),达修波得!$A$2:$A$15),2,FALSE))</f>
        <v>二</v>
      </c>
      <c r="H53" s="35" t="str">
        <f t="shared" ca="1" si="1"/>
        <v>贝2二</v>
      </c>
    </row>
    <row r="54" spans="1:8" x14ac:dyDescent="0.2">
      <c r="A54" t="s">
        <v>113</v>
      </c>
      <c r="B54" t="s">
        <v>61</v>
      </c>
      <c r="C54">
        <v>1</v>
      </c>
      <c r="D54">
        <v>2</v>
      </c>
      <c r="F54" s="35" t="str">
        <f ca="1">IF(OR(OR($A54="",$B54=""),AND($C54&lt;&gt;"",$D54&lt;&gt;"")),"",VLOOKUP(A54,IF({1,0},INDIRECT("达修波得!$"&amp;$E$1&amp;"$2:$"&amp;$E$1&amp;"$15"),达修波得!$A$2:$A$15),2,FALSE))</f>
        <v/>
      </c>
      <c r="G54" s="35" t="str">
        <f ca="1">IF(OR(OR($A54="",$B54=""),AND($C54&lt;&gt;"",$D54&lt;&gt;"")),"",VLOOKUP(B54,IF({1,0},INDIRECT("达修波得!$"&amp;$E$1&amp;"$2:$"&amp;$E$1&amp;"$15"),达修波得!$A$2:$A$15),2,FALSE))</f>
        <v/>
      </c>
      <c r="H54" s="35" t="str">
        <f t="shared" ca="1" si="1"/>
        <v/>
      </c>
    </row>
    <row r="55" spans="1:8" x14ac:dyDescent="0.2">
      <c r="A55" s="51" t="s">
        <v>124</v>
      </c>
      <c r="B55" s="51" t="s">
        <v>126</v>
      </c>
      <c r="F55" s="35" t="str">
        <f ca="1">IF(OR(OR($A55="",$B55=""),AND($C55&lt;&gt;"",$D55&lt;&gt;"")),"",VLOOKUP(A55,IF({1,0},INDIRECT("达修波得!$"&amp;$E$1&amp;"$2:$"&amp;$E$1&amp;"$15"),达修波得!$A$2:$A$15),2,FALSE))</f>
        <v>爷2</v>
      </c>
      <c r="G55" s="35" t="str">
        <f ca="1">IF(OR(OR($A55="",$B55=""),AND($C55&lt;&gt;"",$D55&lt;&gt;"")),"",VLOOKUP(B55,IF({1,0},INDIRECT("达修波得!$"&amp;$E$1&amp;"$2:$"&amp;$E$1&amp;"$15"),达修波得!$A$2:$A$15),2,FALSE))</f>
        <v>宇</v>
      </c>
      <c r="H55" s="35" t="str">
        <f t="shared" ca="1" si="1"/>
        <v>爷2宇</v>
      </c>
    </row>
    <row r="56" spans="1:8" x14ac:dyDescent="0.2">
      <c r="A56" s="51" t="s">
        <v>76</v>
      </c>
      <c r="B56" s="51" t="s">
        <v>116</v>
      </c>
      <c r="C56">
        <v>1</v>
      </c>
      <c r="D56">
        <v>0</v>
      </c>
      <c r="F56" s="35" t="str">
        <f ca="1">IF(OR(OR($A56="",$B56=""),AND($C56&lt;&gt;"",$D56&lt;&gt;"")),"",VLOOKUP(A56,IF({1,0},INDIRECT("达修波得!$"&amp;$E$1&amp;"$2:$"&amp;$E$1&amp;"$15"),达修波得!$A$2:$A$15),2,FALSE))</f>
        <v/>
      </c>
      <c r="G56" s="35" t="str">
        <f ca="1">IF(OR(OR($A56="",$B56=""),AND($C56&lt;&gt;"",$D56&lt;&gt;"")),"",VLOOKUP(B56,IF({1,0},INDIRECT("达修波得!$"&amp;$E$1&amp;"$2:$"&amp;$E$1&amp;"$15"),达修波得!$A$2:$A$15),2,FALSE))</f>
        <v/>
      </c>
      <c r="H56" s="35" t="str">
        <f t="shared" ca="1" si="1"/>
        <v/>
      </c>
    </row>
    <row r="57" spans="1:8" x14ac:dyDescent="0.2">
      <c r="A57" s="4" t="s">
        <v>31</v>
      </c>
      <c r="F57" s="35" t="str">
        <f ca="1">IF(OR(OR($A57="",$B57=""),AND($C57&lt;&gt;"",$D57&lt;&gt;"")),"",VLOOKUP(A57,IF({1,0},INDIRECT("达修波得!$"&amp;$E$1&amp;"$2:$"&amp;$E$1&amp;"$15"),达修波得!$A$2:$A$15),2,FALSE))</f>
        <v/>
      </c>
      <c r="G57" s="35" t="str">
        <f ca="1">IF(OR(OR($A57="",$B57=""),AND($C57&lt;&gt;"",$D57&lt;&gt;"")),"",VLOOKUP(B57,IF({1,0},INDIRECT("达修波得!$"&amp;$E$1&amp;"$2:$"&amp;$E$1&amp;"$15"),达修波得!$A$2:$A$15),2,FALSE))</f>
        <v/>
      </c>
      <c r="H57" s="35" t="str">
        <f t="shared" ca="1" si="1"/>
        <v/>
      </c>
    </row>
    <row r="58" spans="1:8" x14ac:dyDescent="0.2">
      <c r="A58" t="s">
        <v>85</v>
      </c>
      <c r="B58" t="s">
        <v>29</v>
      </c>
      <c r="F58" s="35" t="str">
        <f ca="1">IF(OR(OR($A58="",$B58=""),AND($C58&lt;&gt;"",$D58&lt;&gt;"")),"",VLOOKUP(A58,IF({1,0},INDIRECT("达修波得!$"&amp;$E$1&amp;"$2:$"&amp;$E$1&amp;"$15"),达修波得!$A$2:$A$15),2,FALSE))</f>
        <v>黑2</v>
      </c>
      <c r="G58" s="35" t="str">
        <f ca="1">IF(OR(OR($A58="",$B58=""),AND($C58&lt;&gt;"",$D58&lt;&gt;"")),"",VLOOKUP(B58,IF({1,0},INDIRECT("达修波得!$"&amp;$E$1&amp;"$2:$"&amp;$E$1&amp;"$15"),达修波得!$A$2:$A$15),2,FALSE))</f>
        <v>宇2</v>
      </c>
      <c r="H58" s="35" t="str">
        <f t="shared" ca="1" si="1"/>
        <v>黑2宇2</v>
      </c>
    </row>
    <row r="59" spans="1:8" x14ac:dyDescent="0.2">
      <c r="A59" t="s">
        <v>60</v>
      </c>
      <c r="B59" t="s">
        <v>40</v>
      </c>
      <c r="F59" s="35" t="str">
        <f ca="1">IF(OR(OR($A59="",$B59=""),AND($C59&lt;&gt;"",$D59&lt;&gt;"")),"",VLOOKUP(A59,IF({1,0},INDIRECT("达修波得!$"&amp;$E$1&amp;"$2:$"&amp;$E$1&amp;"$15"),达修波得!$A$2:$A$15),2,FALSE))</f>
        <v>黑</v>
      </c>
      <c r="G59" s="35" t="str">
        <f ca="1">IF(OR(OR($A59="",$B59=""),AND($C59&lt;&gt;"",$D59&lt;&gt;"")),"",VLOOKUP(B59,IF({1,0},INDIRECT("达修波得!$"&amp;$E$1&amp;"$2:$"&amp;$E$1&amp;"$15"),达修波得!$A$2:$A$15),2,FALSE))</f>
        <v>二</v>
      </c>
      <c r="H59" s="35" t="str">
        <f t="shared" ca="1" si="1"/>
        <v>黑二</v>
      </c>
    </row>
    <row r="60" spans="1:8" x14ac:dyDescent="0.2">
      <c r="A60" t="s">
        <v>97</v>
      </c>
      <c r="B60" t="s">
        <v>61</v>
      </c>
      <c r="C60">
        <v>0</v>
      </c>
      <c r="D60">
        <v>4</v>
      </c>
      <c r="F60" s="35" t="str">
        <f ca="1">IF(OR(OR($A60="",$B60=""),AND($C60&lt;&gt;"",$D60&lt;&gt;"")),"",VLOOKUP(A60,IF({1,0},INDIRECT("达修波得!$"&amp;$E$1&amp;"$2:$"&amp;$E$1&amp;"$15"),达修波得!$A$2:$A$15),2,FALSE))</f>
        <v/>
      </c>
      <c r="G60" s="35" t="str">
        <f ca="1">IF(OR(OR($A60="",$B60=""),AND($C60&lt;&gt;"",$D60&lt;&gt;"")),"",VLOOKUP(B60,IF({1,0},INDIRECT("达修波得!$"&amp;$E$1&amp;"$2:$"&amp;$E$1&amp;"$15"),达修波得!$A$2:$A$15),2,FALSE))</f>
        <v/>
      </c>
      <c r="H60" s="35" t="str">
        <f t="shared" ca="1" si="1"/>
        <v/>
      </c>
    </row>
    <row r="61" spans="1:8" x14ac:dyDescent="0.2">
      <c r="A61" t="s">
        <v>95</v>
      </c>
      <c r="B61" t="s">
        <v>126</v>
      </c>
      <c r="F61" s="35" t="str">
        <f ca="1">IF(OR(OR($A61="",$B61=""),AND($C61&lt;&gt;"",$D61&lt;&gt;"")),"",VLOOKUP(A61,IF({1,0},INDIRECT("达修波得!$"&amp;$E$1&amp;"$2:$"&amp;$E$1&amp;"$15"),达修波得!$A$2:$A$15),2,FALSE))</f>
        <v>贝2</v>
      </c>
      <c r="G61" s="35" t="str">
        <f ca="1">IF(OR(OR($A61="",$B61=""),AND($C61&lt;&gt;"",$D61&lt;&gt;"")),"",VLOOKUP(B61,IF({1,0},INDIRECT("达修波得!$"&amp;$E$1&amp;"$2:$"&amp;$E$1&amp;"$15"),达修波得!$A$2:$A$15),2,FALSE))</f>
        <v>宇</v>
      </c>
      <c r="H61" s="35" t="str">
        <f t="shared" ca="1" si="1"/>
        <v>贝2宇</v>
      </c>
    </row>
    <row r="62" spans="1:8" x14ac:dyDescent="0.2">
      <c r="A62" s="51" t="s">
        <v>113</v>
      </c>
      <c r="B62" s="51" t="s">
        <v>116</v>
      </c>
      <c r="C62">
        <v>1</v>
      </c>
      <c r="D62">
        <v>3</v>
      </c>
      <c r="F62" s="35" t="str">
        <f ca="1">IF(OR(OR($A62="",$B62=""),AND($C62&lt;&gt;"",$D62&lt;&gt;"")),"",VLOOKUP(A62,IF({1,0},INDIRECT("达修波得!$"&amp;$E$1&amp;"$2:$"&amp;$E$1&amp;"$15"),达修波得!$A$2:$A$15),2,FALSE))</f>
        <v/>
      </c>
      <c r="G62" s="35" t="str">
        <f ca="1">IF(OR(OR($A62="",$B62=""),AND($C62&lt;&gt;"",$D62&lt;&gt;"")),"",VLOOKUP(B62,IF({1,0},INDIRECT("达修波得!$"&amp;$E$1&amp;"$2:$"&amp;$E$1&amp;"$15"),达修波得!$A$2:$A$15),2,FALSE))</f>
        <v/>
      </c>
      <c r="H62" s="35" t="str">
        <f t="shared" ca="1" si="1"/>
        <v/>
      </c>
    </row>
    <row r="63" spans="1:8" x14ac:dyDescent="0.2">
      <c r="A63" s="51" t="s">
        <v>124</v>
      </c>
      <c r="B63" s="51" t="s">
        <v>76</v>
      </c>
      <c r="C63">
        <v>1</v>
      </c>
      <c r="D63">
        <v>4</v>
      </c>
      <c r="F63" s="35" t="str">
        <f ca="1">IF(OR(OR($A63="",$B63=""),AND($C63&lt;&gt;"",$D63&lt;&gt;"")),"",VLOOKUP(A63,IF({1,0},INDIRECT("达修波得!$"&amp;$E$1&amp;"$2:$"&amp;$E$1&amp;"$15"),达修波得!$A$2:$A$15),2,FALSE))</f>
        <v/>
      </c>
      <c r="G63" s="35" t="str">
        <f ca="1">IF(OR(OR($A63="",$B63=""),AND($C63&lt;&gt;"",$D63&lt;&gt;"")),"",VLOOKUP(B63,IF({1,0},INDIRECT("达修波得!$"&amp;$E$1&amp;"$2:$"&amp;$E$1&amp;"$15"),达修波得!$A$2:$A$15),2,FALSE))</f>
        <v/>
      </c>
      <c r="H63" s="35" t="str">
        <f t="shared" ca="1" si="1"/>
        <v/>
      </c>
    </row>
    <row r="64" spans="1:8" x14ac:dyDescent="0.2">
      <c r="A64" s="4" t="s">
        <v>32</v>
      </c>
      <c r="F64" s="35" t="str">
        <f ca="1">IF(OR(OR($A64="",$B64=""),AND($C64&lt;&gt;"",$D64&lt;&gt;"")),"",VLOOKUP(A64,IF({1,0},INDIRECT("达修波得!$"&amp;$E$1&amp;"$2:$"&amp;$E$1&amp;"$15"),达修波得!$A$2:$A$15),2,FALSE))</f>
        <v/>
      </c>
      <c r="G64" s="35" t="str">
        <f ca="1">IF(OR(OR($A64="",$B64=""),AND($C64&lt;&gt;"",$D64&lt;&gt;"")),"",VLOOKUP(B64,IF({1,0},INDIRECT("达修波得!$"&amp;$E$1&amp;"$2:$"&amp;$E$1&amp;"$15"),达修波得!$A$2:$A$15),2,FALSE))</f>
        <v/>
      </c>
      <c r="H64" s="35" t="str">
        <f t="shared" ca="1" si="1"/>
        <v/>
      </c>
    </row>
    <row r="65" spans="1:8" x14ac:dyDescent="0.2">
      <c r="A65" t="s">
        <v>85</v>
      </c>
      <c r="B65" t="s">
        <v>40</v>
      </c>
      <c r="F65" s="35" t="str">
        <f ca="1">IF(OR(OR($A65="",$B65=""),AND($C65&lt;&gt;"",$D65&lt;&gt;"")),"",VLOOKUP(A65,IF({1,0},INDIRECT("达修波得!$"&amp;$E$1&amp;"$2:$"&amp;$E$1&amp;"$15"),达修波得!$A$2:$A$15),2,FALSE))</f>
        <v>黑2</v>
      </c>
      <c r="G65" s="35" t="str">
        <f ca="1">IF(OR(OR($A65="",$B65=""),AND($C65&lt;&gt;"",$D65&lt;&gt;"")),"",VLOOKUP(B65,IF({1,0},INDIRECT("达修波得!$"&amp;$E$1&amp;"$2:$"&amp;$E$1&amp;"$15"),达修波得!$A$2:$A$15),2,FALSE))</f>
        <v>二</v>
      </c>
      <c r="H65" s="35" t="str">
        <f t="shared" ca="1" si="1"/>
        <v>黑2二</v>
      </c>
    </row>
    <row r="66" spans="1:8" x14ac:dyDescent="0.2">
      <c r="A66" t="s">
        <v>29</v>
      </c>
      <c r="B66" t="s">
        <v>61</v>
      </c>
      <c r="C66">
        <v>1</v>
      </c>
      <c r="D66">
        <v>1</v>
      </c>
      <c r="F66" s="35" t="str">
        <f ca="1">IF(OR(OR($A66="",$B66=""),AND($C66&lt;&gt;"",$D66&lt;&gt;"")),"",VLOOKUP(A66,IF({1,0},INDIRECT("达修波得!$"&amp;$E$1&amp;"$2:$"&amp;$E$1&amp;"$15"),达修波得!$A$2:$A$15),2,FALSE))</f>
        <v/>
      </c>
      <c r="G66" s="35" t="str">
        <f ca="1">IF(OR(OR($A66="",$B66=""),AND($C66&lt;&gt;"",$D66&lt;&gt;"")),"",VLOOKUP(B66,IF({1,0},INDIRECT("达修波得!$"&amp;$E$1&amp;"$2:$"&amp;$E$1&amp;"$15"),达修波得!$A$2:$A$15),2,FALSE))</f>
        <v/>
      </c>
      <c r="H66" s="35" t="str">
        <f t="shared" ca="1" si="1"/>
        <v/>
      </c>
    </row>
    <row r="67" spans="1:8" x14ac:dyDescent="0.2">
      <c r="A67" t="s">
        <v>60</v>
      </c>
      <c r="B67" t="s">
        <v>126</v>
      </c>
      <c r="C67">
        <v>3</v>
      </c>
      <c r="D67">
        <v>0</v>
      </c>
      <c r="F67" s="35" t="str">
        <f ca="1">IF(OR(OR($A67="",$B67=""),AND($C67&lt;&gt;"",$D67&lt;&gt;"")),"",VLOOKUP(A67,IF({1,0},INDIRECT("达修波得!$"&amp;$E$1&amp;"$2:$"&amp;$E$1&amp;"$15"),达修波得!$A$2:$A$15),2,FALSE))</f>
        <v/>
      </c>
      <c r="G67" s="35" t="str">
        <f ca="1">IF(OR(OR($A67="",$B67=""),AND($C67&lt;&gt;"",$D67&lt;&gt;"")),"",VLOOKUP(B67,IF({1,0},INDIRECT("达修波得!$"&amp;$E$1&amp;"$2:$"&amp;$E$1&amp;"$15"),达修波得!$A$2:$A$15),2,FALSE))</f>
        <v/>
      </c>
      <c r="H67" s="35" t="str">
        <f t="shared" ref="H67:H72" ca="1" si="2">F67&amp;G67</f>
        <v/>
      </c>
    </row>
    <row r="68" spans="1:8" x14ac:dyDescent="0.2">
      <c r="A68" t="s">
        <v>97</v>
      </c>
      <c r="B68" t="s">
        <v>116</v>
      </c>
      <c r="C68">
        <v>2</v>
      </c>
      <c r="D68">
        <v>2</v>
      </c>
      <c r="F68" s="35" t="str">
        <f ca="1">IF(OR(OR($A68="",$B68=""),AND($C68&lt;&gt;"",$D68&lt;&gt;"")),"",VLOOKUP(A68,IF({1,0},INDIRECT("达修波得!$"&amp;$E$1&amp;"$2:$"&amp;$E$1&amp;"$15"),达修波得!$A$2:$A$15),2,FALSE))</f>
        <v/>
      </c>
      <c r="G68" s="35" t="str">
        <f ca="1">IF(OR(OR($A68="",$B68=""),AND($C68&lt;&gt;"",$D68&lt;&gt;"")),"",VLOOKUP(B68,IF({1,0},INDIRECT("达修波得!$"&amp;$E$1&amp;"$2:$"&amp;$E$1&amp;"$15"),达修波得!$A$2:$A$15),2,FALSE))</f>
        <v/>
      </c>
      <c r="H68" s="35" t="str">
        <f t="shared" ca="1" si="2"/>
        <v/>
      </c>
    </row>
    <row r="69" spans="1:8" x14ac:dyDescent="0.2">
      <c r="A69" s="51" t="s">
        <v>95</v>
      </c>
      <c r="B69" s="51" t="s">
        <v>76</v>
      </c>
      <c r="C69">
        <v>2</v>
      </c>
      <c r="D69">
        <v>0</v>
      </c>
      <c r="F69" s="35" t="str">
        <f ca="1">IF(OR(OR($A69="",$B69=""),AND($C69&lt;&gt;"",$D69&lt;&gt;"")),"",VLOOKUP(A69,IF({1,0},INDIRECT("达修波得!$"&amp;$E$1&amp;"$2:$"&amp;$E$1&amp;"$15"),达修波得!$A$2:$A$15),2,FALSE))</f>
        <v/>
      </c>
      <c r="G69" s="35" t="str">
        <f ca="1">IF(OR(OR($A69="",$B69=""),AND($C69&lt;&gt;"",$D69&lt;&gt;"")),"",VLOOKUP(B69,IF({1,0},INDIRECT("达修波得!$"&amp;$E$1&amp;"$2:$"&amp;$E$1&amp;"$15"),达修波得!$A$2:$A$15),2,FALSE))</f>
        <v/>
      </c>
      <c r="H69" s="35" t="str">
        <f t="shared" ca="1" si="2"/>
        <v/>
      </c>
    </row>
    <row r="70" spans="1:8" x14ac:dyDescent="0.2">
      <c r="A70" s="51" t="s">
        <v>113</v>
      </c>
      <c r="B70" s="51" t="s">
        <v>124</v>
      </c>
      <c r="C70">
        <v>2</v>
      </c>
      <c r="D70">
        <v>2</v>
      </c>
      <c r="F70" s="35" t="str">
        <f ca="1">IF(OR(OR($A70="",$B70=""),AND($C70&lt;&gt;"",$D70&lt;&gt;"")),"",VLOOKUP(A70,IF({1,0},INDIRECT("达修波得!$"&amp;$E$1&amp;"$2:$"&amp;$E$1&amp;"$15"),达修波得!$A$2:$A$15),2,FALSE))</f>
        <v/>
      </c>
      <c r="G70" s="35" t="str">
        <f ca="1">IF(OR(OR($A70="",$B70=""),AND($C70&lt;&gt;"",$D70&lt;&gt;"")),"",VLOOKUP(B70,IF({1,0},INDIRECT("达修波得!$"&amp;$E$1&amp;"$2:$"&amp;$E$1&amp;"$15"),达修波得!$A$2:$A$15),2,FALSE))</f>
        <v/>
      </c>
      <c r="H70" s="35" t="str">
        <f t="shared" ca="1" si="2"/>
        <v/>
      </c>
    </row>
    <row r="71" spans="1:8" x14ac:dyDescent="0.2">
      <c r="A71" s="4" t="s">
        <v>33</v>
      </c>
      <c r="F71" s="35" t="str">
        <f ca="1">IF(OR(OR($A71="",$B71=""),AND($C71&lt;&gt;"",$D71&lt;&gt;"")),"",VLOOKUP(A71,IF({1,0},INDIRECT("达修波得!$"&amp;$E$1&amp;"$2:$"&amp;$E$1&amp;"$15"),达修波得!$A$2:$A$15),2,FALSE))</f>
        <v/>
      </c>
      <c r="G71" s="35" t="str">
        <f ca="1">IF(OR(OR($A71="",$B71=""),AND($C71&lt;&gt;"",$D71&lt;&gt;"")),"",VLOOKUP(B71,IF({1,0},INDIRECT("达修波得!$"&amp;$E$1&amp;"$2:$"&amp;$E$1&amp;"$15"),达修波得!$A$2:$A$15),2,FALSE))</f>
        <v/>
      </c>
      <c r="H71" s="35" t="str">
        <f t="shared" ca="1" si="2"/>
        <v/>
      </c>
    </row>
    <row r="72" spans="1:8" x14ac:dyDescent="0.2">
      <c r="A72" t="s">
        <v>85</v>
      </c>
      <c r="B72" t="s">
        <v>61</v>
      </c>
      <c r="C72">
        <v>1</v>
      </c>
      <c r="D72">
        <v>3</v>
      </c>
      <c r="F72" s="35" t="str">
        <f ca="1">IF(OR(OR($A72="",$B72=""),AND($C72&lt;&gt;"",$D72&lt;&gt;"")),"",VLOOKUP(A72,IF({1,0},INDIRECT("达修波得!$"&amp;$E$1&amp;"$2:$"&amp;$E$1&amp;"$15"),达修波得!$A$2:$A$15),2,FALSE))</f>
        <v/>
      </c>
      <c r="G72" s="35" t="str">
        <f ca="1">IF(OR(OR($A72="",$B72=""),AND($C72&lt;&gt;"",$D72&lt;&gt;"")),"",VLOOKUP(B72,IF({1,0},INDIRECT("达修波得!$"&amp;$E$1&amp;"$2:$"&amp;$E$1&amp;"$15"),达修波得!$A$2:$A$15),2,FALSE))</f>
        <v/>
      </c>
      <c r="H72" s="35" t="str">
        <f t="shared" ca="1" si="2"/>
        <v/>
      </c>
    </row>
    <row r="73" spans="1:8" x14ac:dyDescent="0.2">
      <c r="A73" t="s">
        <v>40</v>
      </c>
      <c r="B73" t="s">
        <v>126</v>
      </c>
      <c r="C73">
        <v>1</v>
      </c>
      <c r="D73">
        <v>0</v>
      </c>
      <c r="F73" s="35" t="str">
        <f ca="1">IF(OR(OR($A73="",$B73=""),AND($C73&lt;&gt;"",$D73&lt;&gt;"")),"",VLOOKUP(A73,IF({1,0},INDIRECT("达修波得!$"&amp;$E$1&amp;"$2:$"&amp;$E$1&amp;"$15"),达修波得!$A$2:$A$15),2,FALSE))</f>
        <v/>
      </c>
      <c r="G73" s="35" t="str">
        <f ca="1">IF(OR(OR($A73="",$B73=""),AND($C73&lt;&gt;"",$D73&lt;&gt;"")),"",VLOOKUP(B73,IF({1,0},INDIRECT("达修波得!$"&amp;$E$1&amp;"$2:$"&amp;$E$1&amp;"$15"),达修波得!$A$2:$A$15),2,FALSE))</f>
        <v/>
      </c>
      <c r="H73" s="35" t="str">
        <f t="shared" ref="H73:H77" ca="1" si="3">F73&amp;G73</f>
        <v/>
      </c>
    </row>
    <row r="74" spans="1:8" x14ac:dyDescent="0.2">
      <c r="A74" t="s">
        <v>29</v>
      </c>
      <c r="B74" t="s">
        <v>116</v>
      </c>
      <c r="F74" s="35" t="str">
        <f ca="1">IF(OR(OR($A74="",$B74=""),AND($C74&lt;&gt;"",$D74&lt;&gt;"")),"",VLOOKUP(A74,IF({1,0},INDIRECT("达修波得!$"&amp;$E$1&amp;"$2:$"&amp;$E$1&amp;"$15"),达修波得!$A$2:$A$15),2,FALSE))</f>
        <v>宇2</v>
      </c>
      <c r="G74" s="35" t="str">
        <f ca="1">IF(OR(OR($A74="",$B74=""),AND($C74&lt;&gt;"",$D74&lt;&gt;"")),"",VLOOKUP(B74,IF({1,0},INDIRECT("达修波得!$"&amp;$E$1&amp;"$2:$"&amp;$E$1&amp;"$15"),达修波得!$A$2:$A$15),2,FALSE))</f>
        <v>二2</v>
      </c>
      <c r="H74" s="35" t="str">
        <f t="shared" ca="1" si="3"/>
        <v>宇2二2</v>
      </c>
    </row>
    <row r="75" spans="1:8" x14ac:dyDescent="0.2">
      <c r="A75" t="s">
        <v>60</v>
      </c>
      <c r="B75" t="s">
        <v>76</v>
      </c>
      <c r="C75">
        <v>2</v>
      </c>
      <c r="D75">
        <v>3</v>
      </c>
      <c r="F75" s="35" t="str">
        <f ca="1">IF(OR(OR($A75="",$B75=""),AND($C75&lt;&gt;"",$D75&lt;&gt;"")),"",VLOOKUP(A75,IF({1,0},INDIRECT("达修波得!$"&amp;$E$1&amp;"$2:$"&amp;$E$1&amp;"$15"),达修波得!$A$2:$A$15),2,FALSE))</f>
        <v/>
      </c>
      <c r="G75" s="35" t="str">
        <f ca="1">IF(OR(OR($A75="",$B75=""),AND($C75&lt;&gt;"",$D75&lt;&gt;"")),"",VLOOKUP(B75,IF({1,0},INDIRECT("达修波得!$"&amp;$E$1&amp;"$2:$"&amp;$E$1&amp;"$15"),达修波得!$A$2:$A$15),2,FALSE))</f>
        <v/>
      </c>
      <c r="H75" s="35" t="str">
        <f t="shared" ca="1" si="3"/>
        <v/>
      </c>
    </row>
    <row r="76" spans="1:8" x14ac:dyDescent="0.2">
      <c r="A76" s="51" t="s">
        <v>97</v>
      </c>
      <c r="B76" s="51" t="s">
        <v>124</v>
      </c>
      <c r="C76">
        <v>1</v>
      </c>
      <c r="D76">
        <v>0</v>
      </c>
      <c r="F76" s="35" t="str">
        <f ca="1">IF(OR(OR($A76="",$B76=""),AND($C76&lt;&gt;"",$D76&lt;&gt;"")),"",VLOOKUP(A76,IF({1,0},INDIRECT("达修波得!$"&amp;$E$1&amp;"$2:$"&amp;$E$1&amp;"$15"),达修波得!$A$2:$A$15),2,FALSE))</f>
        <v/>
      </c>
      <c r="G76" s="35" t="str">
        <f ca="1">IF(OR(OR($A76="",$B76=""),AND($C76&lt;&gt;"",$D76&lt;&gt;"")),"",VLOOKUP(B76,IF({1,0},INDIRECT("达修波得!$"&amp;$E$1&amp;"$2:$"&amp;$E$1&amp;"$15"),达修波得!$A$2:$A$15),2,FALSE))</f>
        <v/>
      </c>
      <c r="H76" s="35" t="str">
        <f t="shared" ca="1" si="3"/>
        <v/>
      </c>
    </row>
    <row r="77" spans="1:8" x14ac:dyDescent="0.2">
      <c r="A77" s="51" t="s">
        <v>95</v>
      </c>
      <c r="B77" s="51" t="s">
        <v>113</v>
      </c>
      <c r="F77" s="35" t="str">
        <f ca="1">IF(OR(OR($A77="",$B77=""),AND($C77&lt;&gt;"",$D77&lt;&gt;"")),"",VLOOKUP(A77,IF({1,0},INDIRECT("达修波得!$"&amp;$E$1&amp;"$2:$"&amp;$E$1&amp;"$15"),达修波得!$A$2:$A$15),2,FALSE))</f>
        <v>贝2</v>
      </c>
      <c r="G77" s="35" t="str">
        <f ca="1">IF(OR(OR($A77="",$B77=""),AND($C77&lt;&gt;"",$D77&lt;&gt;"")),"",VLOOKUP(B77,IF({1,0},INDIRECT("达修波得!$"&amp;$E$1&amp;"$2:$"&amp;$E$1&amp;"$15"),达修波得!$A$2:$A$15),2,FALSE))</f>
        <v>贝</v>
      </c>
      <c r="H77" s="35" t="str">
        <f t="shared" ca="1" si="3"/>
        <v>贝2贝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达修波得</vt:lpstr>
      <vt:lpstr>西甲積分榜</vt:lpstr>
      <vt:lpstr>欧联積分榜</vt:lpstr>
      <vt:lpstr>意甲積分榜</vt:lpstr>
      <vt:lpstr>德甲積分榜</vt:lpstr>
      <vt:lpstr>欧冠積分榜</vt:lpstr>
      <vt:lpstr>西甲</vt:lpstr>
      <vt:lpstr>欧联</vt:lpstr>
      <vt:lpstr>意甲</vt:lpstr>
      <vt:lpstr>德甲</vt:lpstr>
      <vt:lpstr>欧冠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Morpheus zheng</cp:lastModifiedBy>
  <dcterms:created xsi:type="dcterms:W3CDTF">2016-12-27T02:33:39Z</dcterms:created>
  <dcterms:modified xsi:type="dcterms:W3CDTF">2018-07-27T08:28:28Z</dcterms:modified>
</cp:coreProperties>
</file>