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740" yWindow="2895" windowWidth="19395" windowHeight="1051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31" i="7"/>
  <c r="F1" i="10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 s="1"/>
  <c r="H9" s="1"/>
  <c r="D41" i="7"/>
  <c r="F1" i="11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51" i="7"/>
  <c r="F1" i="1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61" i="7"/>
  <c r="F1" i="1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71" i="7"/>
  <c r="F1" i="1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81" i="7"/>
  <c r="F1" i="15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91" i="7"/>
  <c r="F1" i="16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D101" i="7"/>
  <c r="D21"/>
  <c r="F99"/>
  <c r="F29"/>
  <c r="F39"/>
  <c r="F49"/>
  <c r="F59"/>
  <c r="F69"/>
  <c r="F79"/>
  <c r="F89"/>
  <c r="F19"/>
  <c r="L2" i="23"/>
  <c r="L3"/>
  <c r="L4"/>
  <c r="L5"/>
  <c r="K5"/>
  <c r="K4"/>
  <c r="K3"/>
  <c r="K2"/>
  <c r="K5" i="22"/>
  <c r="K4"/>
  <c r="K3"/>
  <c r="K2"/>
  <c r="L2" i="21"/>
  <c r="L3"/>
  <c r="L4"/>
  <c r="L5"/>
  <c r="K5"/>
  <c r="K4"/>
  <c r="K3"/>
  <c r="K2"/>
  <c r="L2" i="20"/>
  <c r="L3"/>
  <c r="L4"/>
  <c r="L5"/>
  <c r="K5"/>
  <c r="K4"/>
  <c r="K3"/>
  <c r="K2"/>
  <c r="B128" i="7"/>
  <c r="B125"/>
  <c r="B122"/>
  <c r="B119"/>
  <c r="B116"/>
  <c r="B113"/>
  <c r="B127"/>
  <c r="B124"/>
  <c r="B121"/>
  <c r="B118"/>
  <c r="B115"/>
  <c r="B112"/>
  <c r="B110"/>
  <c r="B109"/>
  <c r="B107"/>
  <c r="B106"/>
  <c r="D107"/>
  <c r="D110"/>
  <c r="L5" i="22"/>
  <c r="L4"/>
  <c r="L3"/>
  <c r="L2"/>
  <c r="L5" i="19" l="1"/>
  <c r="L4"/>
  <c r="L3"/>
  <c r="L2"/>
  <c r="L5" i="18"/>
  <c r="L4"/>
  <c r="L3"/>
  <c r="L2"/>
  <c r="L5" i="17"/>
  <c r="L4"/>
  <c r="L3"/>
  <c r="L2"/>
  <c r="L3" i="1"/>
  <c r="L4"/>
  <c r="L5"/>
  <c r="L2"/>
  <c r="J128" i="7"/>
  <c r="H128"/>
  <c r="H116"/>
  <c r="F128"/>
  <c r="F122"/>
  <c r="F116"/>
  <c r="F110"/>
  <c r="D128"/>
  <c r="D125"/>
  <c r="D122"/>
  <c r="D119"/>
  <c r="D116"/>
  <c r="D113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H14" i="2"/>
  <c r="H13"/>
  <c r="H12"/>
  <c r="H11"/>
  <c r="H10"/>
  <c r="K5" i="19"/>
  <c r="K4"/>
  <c r="K3"/>
  <c r="K2"/>
  <c r="K5" i="18"/>
  <c r="K4"/>
  <c r="K3"/>
  <c r="K2"/>
  <c r="K5" i="17"/>
  <c r="K4"/>
  <c r="K3"/>
  <c r="K2"/>
  <c r="K5" i="1"/>
  <c r="K4"/>
  <c r="K3"/>
  <c r="K2"/>
  <c r="G103" i="7"/>
  <c r="F103"/>
  <c r="E103"/>
  <c r="D103"/>
  <c r="C103"/>
  <c r="B103"/>
  <c r="H102"/>
  <c r="F102"/>
  <c r="E102"/>
  <c r="D102"/>
  <c r="C102"/>
  <c r="B102"/>
  <c r="H101"/>
  <c r="G101"/>
  <c r="E101"/>
  <c r="C101"/>
  <c r="B101"/>
  <c r="H100"/>
  <c r="G100"/>
  <c r="F100"/>
  <c r="D100"/>
  <c r="C100"/>
  <c r="B100"/>
  <c r="H99"/>
  <c r="G99"/>
  <c r="E99"/>
  <c r="C99"/>
  <c r="B99"/>
  <c r="H98"/>
  <c r="G98"/>
  <c r="F98"/>
  <c r="E98"/>
  <c r="D98"/>
  <c r="B98"/>
  <c r="H97"/>
  <c r="G97"/>
  <c r="F97"/>
  <c r="E97"/>
  <c r="D97"/>
  <c r="C97"/>
  <c r="G93"/>
  <c r="F93"/>
  <c r="E93"/>
  <c r="D93"/>
  <c r="C93"/>
  <c r="B93"/>
  <c r="H92"/>
  <c r="F92"/>
  <c r="E92"/>
  <c r="D92"/>
  <c r="C92"/>
  <c r="B92"/>
  <c r="H91"/>
  <c r="G91"/>
  <c r="E91"/>
  <c r="C91"/>
  <c r="B91"/>
  <c r="H90"/>
  <c r="G90"/>
  <c r="F90"/>
  <c r="D90"/>
  <c r="C90"/>
  <c r="B90"/>
  <c r="H89"/>
  <c r="G89"/>
  <c r="E89"/>
  <c r="C89"/>
  <c r="B89"/>
  <c r="H88"/>
  <c r="G88"/>
  <c r="F88"/>
  <c r="E88"/>
  <c r="D88"/>
  <c r="B88"/>
  <c r="H87"/>
  <c r="G87"/>
  <c r="F87"/>
  <c r="E87"/>
  <c r="D87"/>
  <c r="C87"/>
  <c r="G83"/>
  <c r="F83"/>
  <c r="E83"/>
  <c r="D83"/>
  <c r="C83"/>
  <c r="B83"/>
  <c r="H82"/>
  <c r="F82"/>
  <c r="E82"/>
  <c r="D82"/>
  <c r="C82"/>
  <c r="B82"/>
  <c r="H81"/>
  <c r="G81"/>
  <c r="E81"/>
  <c r="C81"/>
  <c r="B81"/>
  <c r="H80"/>
  <c r="G80"/>
  <c r="F80"/>
  <c r="D80"/>
  <c r="C80"/>
  <c r="B80"/>
  <c r="H79"/>
  <c r="G79"/>
  <c r="E79"/>
  <c r="C79"/>
  <c r="B79"/>
  <c r="H78"/>
  <c r="G78"/>
  <c r="F78"/>
  <c r="E78"/>
  <c r="D78"/>
  <c r="B78"/>
  <c r="H77"/>
  <c r="G77"/>
  <c r="F77"/>
  <c r="E77"/>
  <c r="D77"/>
  <c r="C77"/>
  <c r="G73"/>
  <c r="F73"/>
  <c r="E73"/>
  <c r="D73"/>
  <c r="C73"/>
  <c r="B73"/>
  <c r="H72"/>
  <c r="F72"/>
  <c r="E72"/>
  <c r="D72"/>
  <c r="C72"/>
  <c r="B72"/>
  <c r="H71"/>
  <c r="G71"/>
  <c r="E71"/>
  <c r="C71"/>
  <c r="B71"/>
  <c r="H70"/>
  <c r="G70"/>
  <c r="F70"/>
  <c r="D70"/>
  <c r="C70"/>
  <c r="B70"/>
  <c r="H69"/>
  <c r="G69"/>
  <c r="E69"/>
  <c r="C69"/>
  <c r="B69"/>
  <c r="H68"/>
  <c r="G68"/>
  <c r="F68"/>
  <c r="E68"/>
  <c r="D68"/>
  <c r="B68"/>
  <c r="H67"/>
  <c r="G67"/>
  <c r="F67"/>
  <c r="E67"/>
  <c r="D67"/>
  <c r="C67"/>
  <c r="G63"/>
  <c r="F63"/>
  <c r="E63"/>
  <c r="D63"/>
  <c r="C63"/>
  <c r="B63"/>
  <c r="H62"/>
  <c r="F62"/>
  <c r="E62"/>
  <c r="D62"/>
  <c r="C62"/>
  <c r="B62"/>
  <c r="H61"/>
  <c r="G61"/>
  <c r="E61"/>
  <c r="C61"/>
  <c r="B61"/>
  <c r="H60"/>
  <c r="G60"/>
  <c r="F60"/>
  <c r="D60"/>
  <c r="C60"/>
  <c r="B60"/>
  <c r="H59"/>
  <c r="G59"/>
  <c r="E59"/>
  <c r="C59"/>
  <c r="B59"/>
  <c r="H58"/>
  <c r="G58"/>
  <c r="F58"/>
  <c r="E58"/>
  <c r="D58"/>
  <c r="B58"/>
  <c r="H57"/>
  <c r="G57"/>
  <c r="F57"/>
  <c r="E57"/>
  <c r="D57"/>
  <c r="C57"/>
  <c r="G53"/>
  <c r="F53"/>
  <c r="E53"/>
  <c r="D53"/>
  <c r="C53"/>
  <c r="B53"/>
  <c r="H52"/>
  <c r="F52"/>
  <c r="E52"/>
  <c r="D52"/>
  <c r="C52"/>
  <c r="B52"/>
  <c r="H51"/>
  <c r="G51"/>
  <c r="E51"/>
  <c r="C51"/>
  <c r="B51"/>
  <c r="H50"/>
  <c r="G50"/>
  <c r="F50"/>
  <c r="D50"/>
  <c r="C50"/>
  <c r="B50"/>
  <c r="H49"/>
  <c r="G49"/>
  <c r="E49"/>
  <c r="C49"/>
  <c r="B49"/>
  <c r="H48"/>
  <c r="G48"/>
  <c r="F48"/>
  <c r="E48"/>
  <c r="D48"/>
  <c r="B48"/>
  <c r="H47"/>
  <c r="G47"/>
  <c r="F47"/>
  <c r="E47"/>
  <c r="D47"/>
  <c r="C47"/>
  <c r="G43"/>
  <c r="F43"/>
  <c r="E43"/>
  <c r="D43"/>
  <c r="C43"/>
  <c r="B43"/>
  <c r="H42"/>
  <c r="F42"/>
  <c r="E42"/>
  <c r="D42"/>
  <c r="C42"/>
  <c r="B42"/>
  <c r="H41"/>
  <c r="G41"/>
  <c r="E41"/>
  <c r="C41"/>
  <c r="B41"/>
  <c r="H40"/>
  <c r="G40"/>
  <c r="F40"/>
  <c r="D40"/>
  <c r="C40"/>
  <c r="B40"/>
  <c r="H39"/>
  <c r="G39"/>
  <c r="E39"/>
  <c r="C39"/>
  <c r="B39"/>
  <c r="H38"/>
  <c r="G38"/>
  <c r="F38"/>
  <c r="E38"/>
  <c r="D38"/>
  <c r="B38"/>
  <c r="H37"/>
  <c r="G37"/>
  <c r="F37"/>
  <c r="E37"/>
  <c r="D37"/>
  <c r="C37"/>
  <c r="G33"/>
  <c r="F33"/>
  <c r="E33"/>
  <c r="D33"/>
  <c r="C33"/>
  <c r="B33"/>
  <c r="H32"/>
  <c r="F32"/>
  <c r="E32"/>
  <c r="D32"/>
  <c r="C32"/>
  <c r="B32"/>
  <c r="H31"/>
  <c r="G31"/>
  <c r="E31"/>
  <c r="C31"/>
  <c r="B31"/>
  <c r="H30"/>
  <c r="G30"/>
  <c r="F30"/>
  <c r="D30"/>
  <c r="C30"/>
  <c r="B30"/>
  <c r="H29"/>
  <c r="G29"/>
  <c r="E29"/>
  <c r="C29"/>
  <c r="B29"/>
  <c r="H28"/>
  <c r="G28"/>
  <c r="F28"/>
  <c r="E28"/>
  <c r="D28"/>
  <c r="B28"/>
  <c r="H27"/>
  <c r="G27"/>
  <c r="F27"/>
  <c r="E27"/>
  <c r="D27"/>
  <c r="C27"/>
  <c r="G23"/>
  <c r="F23"/>
  <c r="E23"/>
  <c r="D23"/>
  <c r="C23"/>
  <c r="B23"/>
  <c r="H22"/>
  <c r="F22"/>
  <c r="E22"/>
  <c r="D22"/>
  <c r="C22"/>
  <c r="B22"/>
  <c r="H21"/>
  <c r="G21"/>
  <c r="E21"/>
  <c r="C21"/>
  <c r="B21"/>
  <c r="H20"/>
  <c r="G20"/>
  <c r="F20"/>
  <c r="D20"/>
  <c r="C20"/>
  <c r="B20"/>
  <c r="H19"/>
  <c r="G19"/>
  <c r="E19"/>
  <c r="C19"/>
  <c r="B19"/>
  <c r="H18"/>
  <c r="G18"/>
  <c r="F18"/>
  <c r="E18"/>
  <c r="D18"/>
  <c r="B18"/>
  <c r="H17"/>
  <c r="G17"/>
  <c r="F17"/>
  <c r="E17"/>
  <c r="D17"/>
  <c r="C17"/>
  <c r="A16"/>
  <c r="H15"/>
  <c r="G15"/>
  <c r="F15"/>
  <c r="E15"/>
  <c r="D15"/>
  <c r="C15"/>
  <c r="B15"/>
</calcChain>
</file>

<file path=xl/sharedStrings.xml><?xml version="1.0" encoding="utf-8"?>
<sst xmlns="http://schemas.openxmlformats.org/spreadsheetml/2006/main" count="574" uniqueCount="179">
  <si>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</si>
  <si>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</si>
  <si>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</si>
  <si>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</si>
  <si>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Yu Gothic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</si>
  <si>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Yu Gothic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</si>
  <si>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</si>
  <si>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</si>
  <si>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</si>
  <si>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</si>
  <si>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</si>
  <si>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</si>
  <si>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</si>
  <si>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</si>
  <si>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</si>
  <si>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</si>
  <si>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</si>
  <si>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</si>
  <si>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</si>
  <si>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</si>
  <si>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</si>
  <si>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</si>
  <si>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</si>
  <si>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</si>
  <si>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</si>
  <si>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</si>
  <si>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</si>
  <si>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</si>
  <si>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</si>
  <si>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</si>
  <si>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</si>
  <si>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</si>
  <si>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</si>
  <si>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</si>
  <si>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Yu Gothic"/>
        <family val="2"/>
        <charset val="128"/>
        <scheme val="minor"/>
      </rPr>
      <t>组</t>
    </r>
  </si>
  <si>
    <r>
      <t>B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</si>
  <si>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</si>
  <si>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</si>
  <si>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</si>
  <si>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F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</si>
  <si>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</si>
  <si>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H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</si>
  <si>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俄</t>
    </r>
    <r>
      <rPr>
        <sz val="11"/>
        <color theme="1"/>
        <rFont val="Yu Gothic"/>
        <family val="2"/>
        <charset val="128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</si>
  <si>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</si>
  <si>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</si>
  <si>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</si>
  <si>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</si>
  <si>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</si>
  <si>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Yu Gothic"/>
        <family val="2"/>
        <charset val="128"/>
        <scheme val="minor"/>
      </rPr>
      <t>罗地亚</t>
    </r>
    <phoneticPr fontId="1"/>
  </si>
  <si>
    <r>
      <t>尼日利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</si>
  <si>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</si>
  <si>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Yu Gothic"/>
        <family val="2"/>
        <charset val="128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</si>
  <si>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</si>
  <si>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</si>
  <si>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</si>
  <si>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</si>
  <si>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Yu Gothic"/>
        <family val="2"/>
        <charset val="128"/>
        <scheme val="minor"/>
      </rPr>
      <t>时</t>
    </r>
    <phoneticPr fontId="1"/>
  </si>
  <si>
    <r>
      <t>英格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</si>
  <si>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</si>
  <si>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Yu Gothic"/>
        <family val="2"/>
        <charset val="128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</si>
  <si>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</si>
  <si>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</si>
  <si>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</si>
  <si>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</si>
  <si>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</si>
  <si>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</si>
  <si>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Yu Gothic"/>
        <family val="2"/>
        <charset val="128"/>
        <scheme val="minor"/>
      </rPr>
      <t>罗</t>
    </r>
    <r>
      <rPr>
        <sz val="11"/>
        <color theme="1"/>
        <rFont val="Yu Gothic"/>
        <family val="2"/>
        <charset val="128"/>
        <scheme val="minor"/>
      </rPr>
      <t>斯</t>
    </r>
    <phoneticPr fontId="1"/>
  </si>
  <si>
    <r>
      <rPr>
        <sz val="11"/>
        <color theme="1"/>
        <rFont val="Yu Gothic"/>
        <family val="2"/>
        <charset val="128"/>
        <scheme val="minor"/>
      </rPr>
      <t>乌</t>
    </r>
    <r>
      <rPr>
        <sz val="11"/>
        <color theme="1"/>
        <rFont val="Yu Gothic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</si>
  <si>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</si>
  <si>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</si>
  <si>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</si>
  <si>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</si>
  <si>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</si>
  <si>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</si>
  <si>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</si>
  <si>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</si>
  <si>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</si>
  <si>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</si>
  <si>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</si>
  <si>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</si>
  <si>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</si>
  <si>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</si>
  <si>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</si>
  <si>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</si>
  <si>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</si>
  <si>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</si>
  <si>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</si>
  <si>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</si>
  <si>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</si>
  <si>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</si>
  <si>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</si>
  <si>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</si>
  <si>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</si>
  <si>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</si>
  <si>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</si>
  <si>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</si>
  <si>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</si>
  <si>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</si>
  <si>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</si>
  <si>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</si>
  <si>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</si>
  <si>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Yu Gothic"/>
        <family val="2"/>
        <charset val="128"/>
        <scheme val="minor"/>
      </rPr>
      <t>组</t>
    </r>
  </si>
  <si>
    <r>
      <t>C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</si>
  <si>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D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</si>
  <si>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r>
      <t>E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</si>
  <si>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七</t>
  </si>
  <si>
    <r>
      <t>哥</t>
    </r>
    <r>
      <rPr>
        <sz val="11"/>
        <color theme="1"/>
        <rFont val="Yu Gothic"/>
        <family val="2"/>
        <charset val="128"/>
        <scheme val="minor"/>
      </rPr>
      <t>伦</t>
    </r>
    <r>
      <rPr>
        <sz val="11"/>
        <color theme="1"/>
        <rFont val="Yu Gothic"/>
        <family val="2"/>
        <charset val="128"/>
        <scheme val="minor"/>
      </rPr>
      <t>比</t>
    </r>
    <r>
      <rPr>
        <sz val="11"/>
        <color theme="1"/>
        <rFont val="Yu Gothic"/>
        <family val="2"/>
        <charset val="128"/>
        <scheme val="minor"/>
      </rPr>
      <t>亚</t>
    </r>
    <r>
      <rPr>
        <sz val="11"/>
        <color theme="1"/>
        <rFont val="Yu Gothic"/>
        <family val="2"/>
        <charset val="128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</si>
  <si>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</si>
  <si>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Yu Gothic"/>
        <family val="2"/>
        <charset val="128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</si>
  <si>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</si>
  <si>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</si>
  <si>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Yu Gothic"/>
        <family val="2"/>
        <charset val="128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</si>
  <si>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</si>
  <si>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Yu Gothic"/>
        <family val="2"/>
        <charset val="128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</si>
  <si>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</si>
  <si>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</si>
  <si>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Yu Gothic"/>
        <family val="2"/>
        <charset val="128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</si>
  <si>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</si>
  <si>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</si>
  <si>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</si>
  <si>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Yu Gothic"/>
        <family val="2"/>
        <charset val="128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</si>
  <si>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</si>
  <si>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</si>
  <si>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</si>
  <si>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</si>
  <si>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</si>
  <si>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</si>
  <si>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</si>
  <si>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</si>
  <si>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</si>
  <si>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</si>
  <si>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</si>
  <si>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</si>
  <si>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</si>
  <si>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</si>
  <si>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</si>
  <si>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</si>
  <si>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</si>
  <si>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</si>
  <si>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</si>
  <si>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</si>
  <si>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突尼斯</t>
    <phoneticPr fontId="1"/>
  </si>
  <si>
    <t>比利时</t>
    <phoneticPr fontId="1"/>
  </si>
  <si>
    <t>巴拿马</t>
    <phoneticPr fontId="1"/>
  </si>
  <si>
    <t>英格兰</t>
    <phoneticPr fontId="1"/>
  </si>
  <si>
    <t>法国</t>
    <phoneticPr fontId="1"/>
  </si>
  <si>
    <t>丹麦</t>
    <phoneticPr fontId="1"/>
  </si>
  <si>
    <t>秘鲁</t>
    <phoneticPr fontId="1"/>
  </si>
  <si>
    <t>澳大利亚</t>
    <phoneticPr fontId="1"/>
  </si>
  <si>
    <t>宇</t>
    <rPh sb="0" eb="1">
      <t>yu</t>
    </rPh>
    <phoneticPr fontId="12"/>
  </si>
  <si>
    <r>
      <t>克罗</t>
    </r>
    <r>
      <rPr>
        <sz val="11"/>
        <color theme="0"/>
        <rFont val="Yu Gothic"/>
        <family val="3"/>
        <charset val="128"/>
        <scheme val="minor"/>
      </rPr>
      <t>地</t>
    </r>
    <r>
      <rPr>
        <sz val="11"/>
        <color theme="0"/>
        <rFont val="Yu Gothic"/>
        <family val="2"/>
        <charset val="128"/>
        <scheme val="minor"/>
      </rPr>
      <t>亚</t>
    </r>
  </si>
  <si>
    <r>
      <t>俄罗</t>
    </r>
    <r>
      <rPr>
        <sz val="11"/>
        <color theme="0"/>
        <rFont val="Yu Gothic"/>
        <family val="3"/>
        <charset val="128"/>
        <scheme val="minor"/>
      </rPr>
      <t>斯</t>
    </r>
  </si>
  <si>
    <r>
      <t>哥伦</t>
    </r>
    <r>
      <rPr>
        <sz val="11"/>
        <color theme="0"/>
        <rFont val="Yu Gothic"/>
        <family val="3"/>
        <charset val="128"/>
        <scheme val="minor"/>
      </rPr>
      <t>比</t>
    </r>
    <r>
      <rPr>
        <sz val="11"/>
        <color theme="0"/>
        <rFont val="Yu Gothic"/>
        <family val="2"/>
        <charset val="128"/>
        <scheme val="minor"/>
      </rPr>
      <t>亚</t>
    </r>
  </si>
  <si>
    <r>
      <t>乌</t>
    </r>
    <r>
      <rPr>
        <sz val="11"/>
        <color theme="0"/>
        <rFont val="Yu Gothic"/>
        <family val="3"/>
        <charset val="128"/>
        <scheme val="minor"/>
      </rPr>
      <t>拉圭</t>
    </r>
  </si>
  <si>
    <r>
      <t>韩</t>
    </r>
    <r>
      <rPr>
        <sz val="11"/>
        <color theme="0"/>
        <rFont val="Yu Gothic"/>
        <family val="3"/>
        <charset val="128"/>
        <scheme val="minor"/>
      </rPr>
      <t>国</t>
    </r>
  </si>
  <si>
    <t>墨西哥</t>
    <phoneticPr fontId="1"/>
  </si>
  <si>
    <t>瑞典</t>
    <phoneticPr fontId="1"/>
  </si>
  <si>
    <t>德国</t>
    <phoneticPr fontId="1"/>
  </si>
  <si>
    <t>韩国</t>
    <phoneticPr fontId="1"/>
  </si>
  <si>
    <t>巴西</t>
    <phoneticPr fontId="1"/>
  </si>
  <si>
    <t>哥斯达黎加</t>
    <phoneticPr fontId="1"/>
  </si>
  <si>
    <t>瑞士</t>
    <phoneticPr fontId="1"/>
  </si>
  <si>
    <t>塞尔维亚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</si>
  <si>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</si>
  <si>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</si>
  <si>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</si>
  <si>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</si>
  <si>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</si>
  <si>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</si>
  <si>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</si>
  <si>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</si>
  <si>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塞内加尔</t>
    <phoneticPr fontId="1"/>
  </si>
  <si>
    <t>哥伦比亚</t>
    <phoneticPr fontId="1"/>
  </si>
  <si>
    <t>波兰</t>
    <phoneticPr fontId="1"/>
  </si>
  <si>
    <t>日本</t>
    <phoneticPr fontId="1"/>
  </si>
  <si>
    <t>克罗地亚</t>
    <phoneticPr fontId="1"/>
  </si>
  <si>
    <t>冰岛</t>
    <phoneticPr fontId="1"/>
  </si>
  <si>
    <t>尼日利亚</t>
    <phoneticPr fontId="1"/>
  </si>
  <si>
    <t>阿根廷</t>
    <phoneticPr fontId="1"/>
  </si>
</sst>
</file>

<file path=xl/styles.xml><?xml version="1.0" encoding="utf-8"?>
<styleSheet xmlns="http://schemas.openxmlformats.org/spreadsheetml/2006/main">
  <fonts count="15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theme="1"/>
      <name val="Yu Gothic"/>
      <family val="3"/>
      <charset val="134"/>
      <scheme val="minor"/>
    </font>
    <font>
      <sz val="11"/>
      <color theme="1"/>
      <name val="Yu Gothic"/>
      <family val="3"/>
      <charset val="136"/>
      <scheme val="minor"/>
    </font>
    <font>
      <sz val="11"/>
      <color theme="0" tint="-0.14999847407452621"/>
      <name val="Yu Gothic"/>
      <family val="3"/>
      <charset val="134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color rgb="FFFF0000"/>
      <name val="Yu Gothic"/>
      <family val="3"/>
      <charset val="134"/>
      <scheme val="minor"/>
    </font>
    <font>
      <sz val="11"/>
      <color theme="0" tint="-0.249977111117893"/>
      <name val="Yu Gothic"/>
      <family val="3"/>
      <charset val="134"/>
      <scheme val="minor"/>
    </font>
    <font>
      <sz val="11"/>
      <color theme="0" tint="-0.249977111117893"/>
      <name val="Yu Gothic"/>
      <family val="2"/>
      <charset val="128"/>
      <scheme val="minor"/>
    </font>
    <font>
      <u/>
      <sz val="11"/>
      <color theme="10"/>
      <name val="Yu Gothic"/>
      <family val="2"/>
      <charset val="128"/>
      <scheme val="minor"/>
    </font>
    <font>
      <u/>
      <sz val="11"/>
      <color theme="1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9C6500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1"/>
      <color theme="0"/>
      <name val="Yu Gothic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4" fillId="0" borderId="5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8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  <xf numFmtId="0" fontId="13" fillId="15" borderId="0" xfId="0" applyFont="1" applyFill="1">
      <alignment vertical="center"/>
    </xf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0"/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/>
  <dimension ref="A1:K164"/>
  <sheetViews>
    <sheetView tabSelected="1" topLeftCell="A106" workbookViewId="0">
      <selection activeCell="I127" sqref="I127"/>
    </sheetView>
  </sheetViews>
  <sheetFormatPr defaultColWidth="8.875" defaultRowHeight="13.5"/>
  <cols>
    <col min="1" max="1" width="6.125" bestFit="1" customWidth="1"/>
    <col min="2" max="2" width="13.25" customWidth="1"/>
    <col min="3" max="3" width="7.375" customWidth="1"/>
    <col min="4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0</v>
      </c>
      <c r="C15">
        <f t="shared" ca="1" si="0"/>
        <v>0</v>
      </c>
      <c r="D15">
        <f t="shared" ca="1" si="0"/>
        <v>0</v>
      </c>
      <c r="E15">
        <f t="shared" ca="1" si="0"/>
        <v>0</v>
      </c>
      <c r="F15">
        <f t="shared" ca="1" si="0"/>
        <v>0</v>
      </c>
      <c r="G15">
        <f t="shared" ca="1" si="0"/>
        <v>0</v>
      </c>
      <c r="H15">
        <f ca="1">SUM(H17:H23)</f>
        <v>0</v>
      </c>
    </row>
    <row r="16" spans="1:11">
      <c r="A16" s="25" t="str">
        <f ca="1">"残比"&amp;SUM(B17:H23)/2</f>
        <v>残比0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0</v>
      </c>
      <c r="E17" s="14">
        <f t="shared" ca="1" si="1"/>
        <v>0</v>
      </c>
      <c r="F17" s="14">
        <f t="shared" ca="1" si="1"/>
        <v>0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0</v>
      </c>
      <c r="E18" s="14">
        <f t="shared" ca="1" si="1"/>
        <v>0</v>
      </c>
      <c r="F18" s="14">
        <f t="shared" ca="1" si="1"/>
        <v>0</v>
      </c>
      <c r="G18" s="14">
        <f t="shared" ca="1" si="1"/>
        <v>0</v>
      </c>
      <c r="H18" s="14">
        <f t="shared" ca="1" si="1"/>
        <v>0</v>
      </c>
    </row>
    <row r="19" spans="1:8">
      <c r="A19" s="18" t="s">
        <v>105</v>
      </c>
      <c r="B19" s="14">
        <f t="shared" ref="B19:F23" ca="1" si="2">B29+B39+B49+B59+B69+B79+B89+B99</f>
        <v>0</v>
      </c>
      <c r="C19" s="14">
        <f t="shared" ca="1" si="2"/>
        <v>0</v>
      </c>
      <c r="D19" s="24"/>
      <c r="E19" s="14">
        <f t="shared" ref="E19:H19" ca="1" si="3">E29+E39+E49+E59+E69+E79+E89+E99</f>
        <v>0</v>
      </c>
      <c r="F19" s="14">
        <f ca="1">F29+F39+F49+F59+F69+F79+F89+F99</f>
        <v>0</v>
      </c>
      <c r="G19" s="14">
        <f t="shared" ca="1" si="3"/>
        <v>0</v>
      </c>
      <c r="H19" s="14">
        <f t="shared" ca="1" si="3"/>
        <v>0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0</v>
      </c>
      <c r="D20" s="14">
        <f t="shared" ca="1" si="2"/>
        <v>0</v>
      </c>
      <c r="E20" s="24"/>
      <c r="F20" s="14">
        <f t="shared" ref="F20:H20" ca="1" si="4">F30+F40+F50+F60+F70+F80+F90+F100</f>
        <v>0</v>
      </c>
      <c r="G20" s="14">
        <f t="shared" ca="1" si="4"/>
        <v>0</v>
      </c>
      <c r="H20" s="14">
        <f t="shared" ca="1" si="4"/>
        <v>0</v>
      </c>
    </row>
    <row r="21" spans="1:8">
      <c r="A21" s="17" t="s">
        <v>22</v>
      </c>
      <c r="B21" s="14">
        <f t="shared" ca="1" si="2"/>
        <v>0</v>
      </c>
      <c r="C21" s="14">
        <f t="shared" ca="1" si="2"/>
        <v>0</v>
      </c>
      <c r="D21" s="14">
        <f ca="1">D31+D41+D51+D61+D71+D81+D91+D101</f>
        <v>0</v>
      </c>
      <c r="E21" s="14">
        <f t="shared" ca="1" si="2"/>
        <v>0</v>
      </c>
      <c r="F21" s="24"/>
      <c r="G21" s="14">
        <f t="shared" ref="G21:H21" ca="1" si="5">G31+G41+G51+G61+G71+G81+G91+G101</f>
        <v>0</v>
      </c>
      <c r="H21" s="14">
        <f t="shared" ca="1" si="5"/>
        <v>0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0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0</v>
      </c>
      <c r="D23" s="14">
        <f t="shared" ca="1" si="2"/>
        <v>0</v>
      </c>
      <c r="E23" s="14">
        <f t="shared" ca="1" si="2"/>
        <v>0</v>
      </c>
      <c r="F23" s="14">
        <f t="shared" ca="1" si="2"/>
        <v>0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0</v>
      </c>
      <c r="F28" s="14">
        <f t="shared" ca="1" si="7"/>
        <v>0</v>
      </c>
      <c r="G28" s="14">
        <f t="shared" ca="1" si="7"/>
        <v>0</v>
      </c>
      <c r="H28" s="14">
        <f t="shared" ca="1" si="7"/>
        <v>0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0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0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0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0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0</v>
      </c>
      <c r="G50" s="14">
        <f t="shared" ca="1" si="12"/>
        <v>0</v>
      </c>
      <c r="H50" s="14">
        <f t="shared" ca="1" si="12"/>
        <v>0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0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0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0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0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0</v>
      </c>
      <c r="D60" s="14">
        <f t="shared" ca="1" si="15"/>
        <v>0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0</v>
      </c>
      <c r="E67" s="14">
        <f t="shared" ca="1" si="16"/>
        <v>0</v>
      </c>
      <c r="F67" s="14">
        <f t="shared" ca="1" si="16"/>
        <v>0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0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0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0</v>
      </c>
      <c r="C71" s="14">
        <f t="shared" ca="1" si="19"/>
        <v>0</v>
      </c>
      <c r="D71" s="14">
        <f t="shared" ca="1" si="19"/>
        <v>0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0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0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0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0</v>
      </c>
      <c r="E88" s="14">
        <f ca="1">COUNTIF(INDIRECT($A$86&amp;"!$H:$H"),$A88&amp;E$26)+COUNTIF(INDIRECT($A$86&amp;"!$H:$H"),E$26&amp;$A88)</f>
        <v>0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0</v>
      </c>
      <c r="C89" s="14">
        <f ca="1">COUNTIF(INDIRECT($A$86&amp;"!$H:$H"),$A89&amp;C$26)+COUNTIF(INDIRECT($A$86&amp;"!$H:$H"),C$26&amp;$A89)</f>
        <v>0</v>
      </c>
      <c r="D89" s="19"/>
      <c r="E89" s="14">
        <f ca="1">COUNTIF(INDIRECT($A$86&amp;"!$H:$H"),$A89&amp;E$26)+COUNTIF(INDIRECT($A$86&amp;"!$H:$H"),E$26&amp;$A89)</f>
        <v>0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0</v>
      </c>
      <c r="D90" s="14">
        <f ca="1">COUNTIF(INDIRECT($A$86&amp;"!$H:$H"),$A90&amp;D$26)+COUNTIF(INDIRECT($A$86&amp;"!$H:$H"),D$26&amp;$A90)</f>
        <v>0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0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0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0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0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0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0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A组積分榜!B2&amp;"("&amp;VLOOKUP(A组積分榜!B2,$A$133:$B$164,2,FALSE)&amp;")"</f>
        <v>埃及(黑)</v>
      </c>
      <c r="C106">
        <v>0</v>
      </c>
    </row>
    <row r="107" spans="1:8">
      <c r="A107" s="37" t="s">
        <v>122</v>
      </c>
      <c r="B107" s="38" t="str">
        <f>B组積分榜!B3&amp;"("&amp;VLOOKUP(B组積分榜!B3,$A$133:$B$164,2,FALSE)&amp;")"</f>
        <v>西班牙(黑)</v>
      </c>
      <c r="C107">
        <v>1</v>
      </c>
      <c r="D107" s="39" t="str">
        <f>IF(C106="","",IF(C106&gt;C107,B106,B107))</f>
        <v>西班牙(黑)</v>
      </c>
      <c r="E107">
        <v>3</v>
      </c>
    </row>
    <row r="108" spans="1:8">
      <c r="D108" s="40"/>
    </row>
    <row r="109" spans="1:8">
      <c r="A109" s="36" t="s">
        <v>123</v>
      </c>
      <c r="B109" t="str">
        <f>C组積分榜!B2&amp;"("&amp;VLOOKUP(C组積分榜!B2,$A$133:$B$164,2,FALSE)&amp;")"</f>
        <v>法国(爷)</v>
      </c>
      <c r="C109">
        <v>2</v>
      </c>
      <c r="D109" s="41"/>
    </row>
    <row r="110" spans="1:8">
      <c r="A110" s="37" t="s">
        <v>124</v>
      </c>
      <c r="B110" s="38" t="str">
        <f>D组積分榜!B3&amp;"("&amp;VLOOKUP(D组積分榜!B3,$A$133:$B$164,2,FALSE)&amp;")"</f>
        <v>冰岛(七)</v>
      </c>
      <c r="C110">
        <v>1</v>
      </c>
      <c r="D110" s="42" t="str">
        <f>IF(C109="","",IF(C109&gt;C110,B109,B110))</f>
        <v>法国(爷)</v>
      </c>
      <c r="E110" s="43">
        <v>1</v>
      </c>
      <c r="F110" s="44" t="str">
        <f>IF(E107="","",IF(E107&gt;E110,D107,D110))</f>
        <v>西班牙(黑)</v>
      </c>
      <c r="G110">
        <v>3</v>
      </c>
    </row>
    <row r="111" spans="1:8">
      <c r="D111" s="40"/>
      <c r="F111" s="41"/>
    </row>
    <row r="112" spans="1:8">
      <c r="A112" s="36" t="s">
        <v>125</v>
      </c>
      <c r="B112" t="str">
        <f>E组積分榜!B2&amp;"("&amp;VLOOKUP(E组積分榜!B2,$A$133:$B$164,2,FALSE)&amp;")"</f>
        <v>巴西(黑)</v>
      </c>
      <c r="C112">
        <v>1</v>
      </c>
      <c r="D112" s="41"/>
      <c r="F112" s="41"/>
    </row>
    <row r="113" spans="1:10">
      <c r="A113" s="37" t="s">
        <v>126</v>
      </c>
      <c r="B113" s="38" t="str">
        <f>F组積分榜!B3&amp;"("&amp;VLOOKUP(F组積分榜!B3,$A$133:$B$164,2,FALSE)&amp;")"</f>
        <v>瑞典(黑)</v>
      </c>
      <c r="C113">
        <v>0</v>
      </c>
      <c r="D113" s="42" t="str">
        <f>IF(C112="","",IF(C112&gt;C113,B112,B113))</f>
        <v>巴西(黑)</v>
      </c>
      <c r="E113">
        <v>0</v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G组積分榜!B2&amp;"("&amp;VLOOKUP(G组積分榜!B2,$A$133:$B$164,2,FALSE)&amp;")"</f>
        <v>突尼斯(贝)</v>
      </c>
      <c r="C115">
        <v>3</v>
      </c>
      <c r="D115" s="41"/>
      <c r="F115" s="41"/>
    </row>
    <row r="116" spans="1:10">
      <c r="A116" s="37" t="s">
        <v>128</v>
      </c>
      <c r="B116" s="38" t="str">
        <f>H组積分榜!B3&amp;"("&amp;VLOOKUP(H组積分榜!B3,$A$133:$B$164,2,FALSE)&amp;")"</f>
        <v>哥伦比亚(爷)</v>
      </c>
      <c r="C116">
        <v>1</v>
      </c>
      <c r="D116" s="42" t="str">
        <f>IF(C115="","",IF(C115&gt;C116,B115,B116))</f>
        <v>突尼斯(贝)</v>
      </c>
      <c r="E116" s="43">
        <v>1</v>
      </c>
      <c r="F116" s="47" t="str">
        <f>IF(E113="","",IF(E113&gt;E116,D113,D116))</f>
        <v>突尼斯(贝)</v>
      </c>
      <c r="G116" s="38">
        <v>1</v>
      </c>
      <c r="H116" s="46" t="str">
        <f>IF(G110="","",IF(G110&gt;G116,F110,F116))</f>
        <v>西班牙(黑)</v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B组積分榜!B2&amp;"("&amp;VLOOKUP(B组積分榜!B2,$A$133:$B$164,2,FALSE)&amp;")"</f>
        <v>葡萄牙(贝)</v>
      </c>
      <c r="C118">
        <v>2</v>
      </c>
      <c r="D118" s="41"/>
      <c r="F118" s="41"/>
      <c r="H118" s="41"/>
    </row>
    <row r="119" spans="1:10">
      <c r="A119" s="37" t="s">
        <v>130</v>
      </c>
      <c r="B119" s="38" t="str">
        <f>A组積分榜!B3&amp;"("&amp;VLOOKUP(A组積分榜!B3,$A$133:$B$164,2,FALSE)&amp;")"</f>
        <v>俄罗斯(二)</v>
      </c>
      <c r="C119">
        <v>1</v>
      </c>
      <c r="D119" s="42" t="str">
        <f>IF(C118="","",IF(C118&gt;C119,B118,B119))</f>
        <v>葡萄牙(贝)</v>
      </c>
      <c r="E119">
        <v>1</v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D组積分榜!B2&amp;"("&amp;VLOOKUP(D组積分榜!B2,$A$133:$B$164,2,FALSE)&amp;")"</f>
        <v>克罗地亚(磊)</v>
      </c>
      <c r="C121">
        <v>0</v>
      </c>
      <c r="D121" s="41"/>
      <c r="F121" s="41"/>
      <c r="H121" s="41"/>
    </row>
    <row r="122" spans="1:10">
      <c r="A122" s="37" t="s">
        <v>132</v>
      </c>
      <c r="B122" s="38" t="str">
        <f>C组積分榜!B3&amp;"("&amp;VLOOKUP(C组積分榜!B3,$A$133:$B$164,2,FALSE)&amp;")"</f>
        <v>丹麦(二)</v>
      </c>
      <c r="C122">
        <v>2</v>
      </c>
      <c r="D122" s="42" t="str">
        <f>IF(C121="","",IF(C121&gt;C122,B121,B122))</f>
        <v>丹麦(二)</v>
      </c>
      <c r="E122" s="43">
        <v>0</v>
      </c>
      <c r="F122" s="47" t="str">
        <f>IF(E119="","",IF(E119&gt;E122,D119,D122))</f>
        <v>葡萄牙(贝)</v>
      </c>
      <c r="G122">
        <v>1</v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F组積分榜!B2&amp;"("&amp;VLOOKUP(F组積分榜!B2,$A$133:$B$164,2,FALSE)&amp;")"</f>
        <v>墨西哥(磊)</v>
      </c>
      <c r="C124">
        <v>2</v>
      </c>
      <c r="D124" s="41"/>
      <c r="F124" s="41"/>
      <c r="H124" s="41"/>
    </row>
    <row r="125" spans="1:10">
      <c r="A125" s="37" t="s">
        <v>134</v>
      </c>
      <c r="B125" s="38" t="str">
        <f>E组積分榜!B3&amp;"("&amp;VLOOKUP(E组積分榜!B3,$A$133:$B$164,2,FALSE)&amp;")"</f>
        <v>哥斯达黎加(爷)</v>
      </c>
      <c r="C125">
        <v>1</v>
      </c>
      <c r="D125" s="42" t="str">
        <f>IF(C124="","",IF(C124&gt;C125,B124,B125))</f>
        <v>墨西哥(磊)</v>
      </c>
      <c r="E125">
        <v>0</v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H组積分榜!B2&amp;"("&amp;VLOOKUP(H组積分榜!B2,$A$133:$B$164,2,FALSE)&amp;")"</f>
        <v>塞内加尔(爷)</v>
      </c>
      <c r="C127">
        <v>1</v>
      </c>
      <c r="D127" s="41"/>
      <c r="F127" s="41"/>
      <c r="H127" s="41"/>
    </row>
    <row r="128" spans="1:10">
      <c r="A128" s="37" t="s">
        <v>136</v>
      </c>
      <c r="B128" s="38" t="str">
        <f>G组積分榜!B3&amp;"("&amp;VLOOKUP(G组積分榜!B3,$A$133:$B$164,2,FALSE)&amp;")"</f>
        <v>比利时(磊)</v>
      </c>
      <c r="C128">
        <v>0</v>
      </c>
      <c r="D128" s="42" t="str">
        <f>IF(C127="","",IF(C127&gt;C128,B127,B128))</f>
        <v>塞内加尔(爷)</v>
      </c>
      <c r="E128" s="43">
        <v>1</v>
      </c>
      <c r="F128" s="47" t="str">
        <f>IF(E125="","",IF(E125&gt;E128,D125,D128))</f>
        <v>塞内加尔(爷)</v>
      </c>
      <c r="G128" s="38">
        <v>2</v>
      </c>
      <c r="H128" s="46" t="str">
        <f>IF(G122="","",IF(G122&gt;G128,F122,F128))</f>
        <v>塞内加尔(爷)</v>
      </c>
      <c r="I128" s="38"/>
      <c r="J128" s="45" t="str">
        <f>IF(I116="","",IF(I116&gt;I128,H116,H128))</f>
        <v/>
      </c>
    </row>
    <row r="133" spans="1:2">
      <c r="A133" s="50" t="s">
        <v>71</v>
      </c>
      <c r="B133" s="50" t="s">
        <v>24</v>
      </c>
    </row>
    <row r="134" spans="1:2">
      <c r="A134" s="50" t="s">
        <v>79</v>
      </c>
      <c r="B134" s="50" t="s">
        <v>24</v>
      </c>
    </row>
    <row r="135" spans="1:2">
      <c r="A135" s="50" t="s">
        <v>80</v>
      </c>
      <c r="B135" s="50" t="s">
        <v>24</v>
      </c>
    </row>
    <row r="136" spans="1:2">
      <c r="A136" s="50" t="s">
        <v>93</v>
      </c>
      <c r="B136" s="50" t="s">
        <v>24</v>
      </c>
    </row>
    <row r="137" spans="1:2">
      <c r="A137" s="50" t="s">
        <v>63</v>
      </c>
      <c r="B137" s="50" t="s">
        <v>20</v>
      </c>
    </row>
    <row r="138" spans="1:2">
      <c r="A138" s="50" t="s">
        <v>150</v>
      </c>
      <c r="B138" s="50" t="s">
        <v>20</v>
      </c>
    </row>
    <row r="139" spans="1:2">
      <c r="A139" s="50" t="s">
        <v>88</v>
      </c>
      <c r="B139" s="50" t="s">
        <v>20</v>
      </c>
    </row>
    <row r="140" spans="1:2">
      <c r="A140" s="50" t="s">
        <v>90</v>
      </c>
      <c r="B140" s="50" t="s">
        <v>20</v>
      </c>
    </row>
    <row r="141" spans="1:2">
      <c r="A141" s="50" t="s">
        <v>76</v>
      </c>
      <c r="B141" s="50" t="s">
        <v>105</v>
      </c>
    </row>
    <row r="142" spans="1:2">
      <c r="A142" s="50" t="s">
        <v>83</v>
      </c>
      <c r="B142" s="50" t="s">
        <v>105</v>
      </c>
    </row>
    <row r="143" spans="1:2">
      <c r="A143" s="50" t="s">
        <v>91</v>
      </c>
      <c r="B143" s="50" t="s">
        <v>105</v>
      </c>
    </row>
    <row r="144" spans="1:2">
      <c r="A144" s="50" t="s">
        <v>97</v>
      </c>
      <c r="B144" s="50" t="s">
        <v>105</v>
      </c>
    </row>
    <row r="145" spans="1:2">
      <c r="A145" s="50" t="s">
        <v>151</v>
      </c>
      <c r="B145" s="50" t="s">
        <v>25</v>
      </c>
    </row>
    <row r="146" spans="1:2">
      <c r="A146" s="50" t="s">
        <v>74</v>
      </c>
      <c r="B146" s="50" t="s">
        <v>25</v>
      </c>
    </row>
    <row r="147" spans="1:2">
      <c r="A147" s="50" t="s">
        <v>77</v>
      </c>
      <c r="B147" s="50" t="s">
        <v>25</v>
      </c>
    </row>
    <row r="148" spans="1:2">
      <c r="A148" s="50" t="s">
        <v>92</v>
      </c>
      <c r="B148" s="50" t="s">
        <v>25</v>
      </c>
    </row>
    <row r="149" spans="1:2">
      <c r="A149" s="50" t="s">
        <v>75</v>
      </c>
      <c r="B149" s="50" t="s">
        <v>22</v>
      </c>
    </row>
    <row r="150" spans="1:2">
      <c r="A150" s="50" t="s">
        <v>152</v>
      </c>
      <c r="B150" s="50" t="s">
        <v>22</v>
      </c>
    </row>
    <row r="151" spans="1:2">
      <c r="A151" s="50" t="s">
        <v>62</v>
      </c>
      <c r="B151" s="50" t="s">
        <v>32</v>
      </c>
    </row>
    <row r="152" spans="1:2">
      <c r="A152" s="50" t="s">
        <v>69</v>
      </c>
      <c r="B152" s="50" t="s">
        <v>32</v>
      </c>
    </row>
    <row r="153" spans="1:2">
      <c r="A153" s="50" t="s">
        <v>81</v>
      </c>
      <c r="B153" s="50" t="s">
        <v>32</v>
      </c>
    </row>
    <row r="154" spans="1:2">
      <c r="A154" s="50" t="s">
        <v>86</v>
      </c>
      <c r="B154" s="50" t="s">
        <v>32</v>
      </c>
    </row>
    <row r="155" spans="1:2">
      <c r="A155" s="50" t="s">
        <v>153</v>
      </c>
      <c r="B155" s="50" t="s">
        <v>149</v>
      </c>
    </row>
    <row r="156" spans="1:2">
      <c r="A156" s="50" t="s">
        <v>87</v>
      </c>
      <c r="B156" s="50" t="s">
        <v>149</v>
      </c>
    </row>
    <row r="157" spans="1:2">
      <c r="A157" s="50" t="s">
        <v>95</v>
      </c>
      <c r="B157" s="50" t="s">
        <v>149</v>
      </c>
    </row>
    <row r="158" spans="1:2">
      <c r="A158" s="50" t="s">
        <v>70</v>
      </c>
      <c r="B158" s="50" t="s">
        <v>22</v>
      </c>
    </row>
    <row r="159" spans="1:2">
      <c r="A159" s="50" t="s">
        <v>82</v>
      </c>
      <c r="B159" s="50" t="s">
        <v>22</v>
      </c>
    </row>
    <row r="160" spans="1:2">
      <c r="A160" s="50" t="s">
        <v>98</v>
      </c>
      <c r="B160" s="50" t="s">
        <v>22</v>
      </c>
    </row>
    <row r="161" spans="1:2">
      <c r="A161" s="50" t="s">
        <v>73</v>
      </c>
      <c r="B161" s="50" t="s">
        <v>149</v>
      </c>
    </row>
    <row r="162" spans="1:2">
      <c r="A162" s="50" t="s">
        <v>154</v>
      </c>
      <c r="B162" s="50" t="s">
        <v>149</v>
      </c>
    </row>
    <row r="163" spans="1:2">
      <c r="A163" s="50" t="s">
        <v>68</v>
      </c>
      <c r="B163" s="50" t="s">
        <v>32</v>
      </c>
    </row>
    <row r="164" spans="1:2">
      <c r="A164" s="50" t="s">
        <v>25</v>
      </c>
      <c r="B164" s="50" t="s">
        <v>72</v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M22"/>
  <sheetViews>
    <sheetView workbookViewId="0">
      <selection activeCell="K11" sqref="K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163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164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165</v>
      </c>
      <c r="C4" s="2">
        <v>3</v>
      </c>
      <c r="D4" s="2">
        <v>0</v>
      </c>
      <c r="E4" s="2">
        <v>2</v>
      </c>
      <c r="F4" s="2">
        <v>1</v>
      </c>
      <c r="G4" s="2">
        <v>2</v>
      </c>
      <c r="H4" s="2">
        <v>4</v>
      </c>
      <c r="I4" s="2">
        <v>-2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166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10</v>
      </c>
      <c r="I5" s="2">
        <v>-8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M22"/>
  <sheetViews>
    <sheetView workbookViewId="0">
      <selection activeCell="B3" sqref="B3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167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6</v>
      </c>
      <c r="M2" s="11"/>
    </row>
    <row r="3" spans="1:13">
      <c r="A3" s="3">
        <v>2</v>
      </c>
      <c r="B3" s="2" t="s">
        <v>168</v>
      </c>
      <c r="C3" s="2">
        <v>3</v>
      </c>
      <c r="D3" s="2">
        <v>1</v>
      </c>
      <c r="E3" s="2">
        <v>2</v>
      </c>
      <c r="F3" s="2">
        <v>0</v>
      </c>
      <c r="G3" s="2">
        <v>4</v>
      </c>
      <c r="H3" s="2">
        <v>3</v>
      </c>
      <c r="I3" s="2">
        <v>1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169</v>
      </c>
      <c r="C4" s="2">
        <v>3</v>
      </c>
      <c r="D4" s="2">
        <v>1</v>
      </c>
      <c r="E4" s="2">
        <v>1</v>
      </c>
      <c r="F4" s="2">
        <v>1</v>
      </c>
      <c r="G4" s="2">
        <v>5</v>
      </c>
      <c r="H4" s="2">
        <v>4</v>
      </c>
      <c r="I4" s="2">
        <v>1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170</v>
      </c>
      <c r="C5" s="2">
        <v>3</v>
      </c>
      <c r="D5" s="2">
        <v>0</v>
      </c>
      <c r="E5" s="2">
        <v>1</v>
      </c>
      <c r="F5" s="2">
        <v>2</v>
      </c>
      <c r="G5" s="2">
        <v>2</v>
      </c>
      <c r="H5" s="2">
        <v>8</v>
      </c>
      <c r="I5" s="2">
        <v>-6</v>
      </c>
      <c r="J5" s="2">
        <v>1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M22"/>
  <sheetViews>
    <sheetView workbookViewId="0">
      <selection activeCell="I6" sqref="I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2</v>
      </c>
      <c r="E2" s="2">
        <v>1</v>
      </c>
      <c r="F2" s="2">
        <v>0</v>
      </c>
      <c r="G2" s="2">
        <v>8</v>
      </c>
      <c r="H2" s="2">
        <v>3</v>
      </c>
      <c r="I2" s="2">
        <v>5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146</v>
      </c>
      <c r="C3" s="2">
        <v>3</v>
      </c>
      <c r="D3" s="2">
        <v>2</v>
      </c>
      <c r="E3" s="2">
        <v>0</v>
      </c>
      <c r="F3" s="2">
        <v>1</v>
      </c>
      <c r="G3" s="2">
        <v>103</v>
      </c>
      <c r="H3" s="2">
        <v>104</v>
      </c>
      <c r="I3" s="2">
        <v>-1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147</v>
      </c>
      <c r="C4" s="2">
        <v>3</v>
      </c>
      <c r="D4" s="2">
        <v>1</v>
      </c>
      <c r="E4" s="2">
        <v>1</v>
      </c>
      <c r="F4" s="2">
        <v>1</v>
      </c>
      <c r="G4" s="2">
        <v>100</v>
      </c>
      <c r="H4" s="2">
        <v>100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148</v>
      </c>
      <c r="C5" s="2">
        <v>3</v>
      </c>
      <c r="D5" s="2">
        <v>0</v>
      </c>
      <c r="E5" s="2">
        <v>0</v>
      </c>
      <c r="F5" s="2">
        <v>3</v>
      </c>
      <c r="G5" s="2">
        <v>0</v>
      </c>
      <c r="H5" s="2">
        <v>4</v>
      </c>
      <c r="I5" s="2">
        <v>-4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M22"/>
  <sheetViews>
    <sheetView workbookViewId="0">
      <selection activeCell="I11" sqref="I11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4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176</v>
      </c>
      <c r="C3" s="2">
        <v>3</v>
      </c>
      <c r="D3" s="2">
        <v>1</v>
      </c>
      <c r="E3" s="2">
        <v>2</v>
      </c>
      <c r="F3" s="2">
        <v>0</v>
      </c>
      <c r="G3" s="2">
        <v>6</v>
      </c>
      <c r="H3" s="2">
        <v>4</v>
      </c>
      <c r="I3" s="2">
        <v>2</v>
      </c>
      <c r="J3" s="2">
        <v>5</v>
      </c>
      <c r="K3" s="12" t="str">
        <f t="shared" si="0"/>
        <v>锁二</v>
      </c>
      <c r="L3" s="11">
        <f t="shared" ref="L3:L5" si="1">((COUNTA(A$2:A$15)-1)-C3)*3+J3</f>
        <v>5</v>
      </c>
      <c r="M3" s="11"/>
    </row>
    <row r="4" spans="1:13">
      <c r="A4" s="3">
        <v>3</v>
      </c>
      <c r="B4" s="2" t="s">
        <v>177</v>
      </c>
      <c r="C4" s="2">
        <v>3</v>
      </c>
      <c r="D4" s="2">
        <v>1</v>
      </c>
      <c r="E4" s="2">
        <v>1</v>
      </c>
      <c r="F4" s="2">
        <v>1</v>
      </c>
      <c r="G4" s="2">
        <v>4</v>
      </c>
      <c r="H4" s="2">
        <v>4</v>
      </c>
      <c r="I4" s="2">
        <v>0</v>
      </c>
      <c r="J4" s="2">
        <v>4</v>
      </c>
      <c r="K4" s="12" t="str">
        <f t="shared" si="0"/>
        <v>锁三</v>
      </c>
      <c r="L4" s="11">
        <f t="shared" si="1"/>
        <v>4</v>
      </c>
      <c r="M4" s="11"/>
    </row>
    <row r="5" spans="1:13">
      <c r="A5" s="3">
        <v>4</v>
      </c>
      <c r="B5" s="2" t="s">
        <v>178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>IF(COUNTIF(L$2:L$15,"&lt;"&amp;$J5)=COUNTA(A$2:A$15)-1,"锁一", IF(COUNTIF(L$2:L$15,"&lt;"&amp;$J5)=COUNTA(A$2:A$15)-2,"锁二", IF(COUNTIF(L$2:L$15,"&lt;"&amp;$J5)=COUNTA(A$2:A$15)-3,"锁三",IF(COUNTIF(J$2:J$15,"&gt;"&amp;$L5)&gt;=COUNTA(A$2:A$15)-$K$1,"降决",""))))</f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 enableFormatConditionsCalculation="0"/>
  <dimension ref="A1:M22"/>
  <sheetViews>
    <sheetView workbookViewId="0">
      <selection activeCell="J29" sqref="J2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159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160</v>
      </c>
      <c r="C3" s="2">
        <v>3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161</v>
      </c>
      <c r="C4" s="2">
        <v>3</v>
      </c>
      <c r="D4" s="2">
        <v>0</v>
      </c>
      <c r="E4" s="2">
        <v>3</v>
      </c>
      <c r="F4" s="2">
        <v>0</v>
      </c>
      <c r="G4" s="2">
        <v>2</v>
      </c>
      <c r="H4" s="2">
        <v>2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162</v>
      </c>
      <c r="C5" s="2">
        <v>3</v>
      </c>
      <c r="D5" s="2">
        <v>0</v>
      </c>
      <c r="E5" s="2">
        <v>2</v>
      </c>
      <c r="F5" s="2">
        <v>1</v>
      </c>
      <c r="G5" s="2">
        <v>0</v>
      </c>
      <c r="H5" s="2">
        <v>1</v>
      </c>
      <c r="I5" s="2">
        <v>-1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 enableFormatConditionsCalculation="0"/>
  <dimension ref="A1:M22"/>
  <sheetViews>
    <sheetView workbookViewId="0">
      <selection activeCell="M16" sqref="M16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155</v>
      </c>
      <c r="C2" s="2">
        <v>3</v>
      </c>
      <c r="D2" s="2">
        <v>2</v>
      </c>
      <c r="E2" s="2">
        <v>1</v>
      </c>
      <c r="F2" s="2">
        <v>0</v>
      </c>
      <c r="G2" s="2">
        <v>5</v>
      </c>
      <c r="H2" s="2">
        <v>2</v>
      </c>
      <c r="I2" s="2">
        <v>3</v>
      </c>
      <c r="J2" s="9">
        <v>7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7</v>
      </c>
      <c r="M2" s="11"/>
    </row>
    <row r="3" spans="1:13">
      <c r="A3" s="3">
        <v>2</v>
      </c>
      <c r="B3" s="2" t="s">
        <v>156</v>
      </c>
      <c r="C3" s="2">
        <v>3</v>
      </c>
      <c r="D3" s="2">
        <v>2</v>
      </c>
      <c r="E3" s="2">
        <v>0</v>
      </c>
      <c r="F3" s="2">
        <v>1</v>
      </c>
      <c r="G3" s="2">
        <v>4</v>
      </c>
      <c r="H3" s="2">
        <v>3</v>
      </c>
      <c r="I3" s="2">
        <v>1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157</v>
      </c>
      <c r="C4" s="2">
        <v>3</v>
      </c>
      <c r="D4" s="2">
        <v>0</v>
      </c>
      <c r="E4" s="2">
        <v>2</v>
      </c>
      <c r="F4" s="2">
        <v>1</v>
      </c>
      <c r="G4" s="2">
        <v>1</v>
      </c>
      <c r="H4" s="2">
        <v>2</v>
      </c>
      <c r="I4" s="2">
        <v>-1</v>
      </c>
      <c r="J4" s="2">
        <v>2</v>
      </c>
      <c r="K4" s="12" t="str">
        <f t="shared" si="0"/>
        <v>锁三</v>
      </c>
      <c r="L4" s="11">
        <f t="shared" si="1"/>
        <v>2</v>
      </c>
      <c r="M4" s="11"/>
    </row>
    <row r="5" spans="1:13">
      <c r="A5" s="3">
        <v>4</v>
      </c>
      <c r="B5" s="2" t="s">
        <v>158</v>
      </c>
      <c r="C5" s="2">
        <v>3</v>
      </c>
      <c r="D5" s="2">
        <v>0</v>
      </c>
      <c r="E5" s="2">
        <v>1</v>
      </c>
      <c r="F5" s="2">
        <v>2</v>
      </c>
      <c r="G5" s="2">
        <v>1</v>
      </c>
      <c r="H5" s="2">
        <v>4</v>
      </c>
      <c r="I5" s="2">
        <v>-3</v>
      </c>
      <c r="J5" s="2">
        <v>1</v>
      </c>
      <c r="K5" s="12" t="str">
        <f t="shared" si="0"/>
        <v/>
      </c>
      <c r="L5" s="11">
        <f t="shared" si="1"/>
        <v>1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 enableFormatConditionsCalculation="0"/>
  <dimension ref="A1:M22"/>
  <sheetViews>
    <sheetView workbookViewId="0">
      <selection activeCell="K2" sqref="K2:K5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3</v>
      </c>
      <c r="D2" s="2">
        <v>1</v>
      </c>
      <c r="E2" s="2">
        <v>2</v>
      </c>
      <c r="F2" s="2">
        <v>0</v>
      </c>
      <c r="G2" s="2">
        <v>4</v>
      </c>
      <c r="H2" s="2">
        <v>2</v>
      </c>
      <c r="I2" s="2">
        <v>2</v>
      </c>
      <c r="J2" s="9">
        <v>5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5</v>
      </c>
      <c r="M2" s="11"/>
    </row>
    <row r="3" spans="1:13">
      <c r="A3" s="3">
        <v>2</v>
      </c>
      <c r="B3" s="2" t="s">
        <v>142</v>
      </c>
      <c r="C3" s="2">
        <v>3</v>
      </c>
      <c r="D3" s="2">
        <v>1</v>
      </c>
      <c r="E3" s="2">
        <v>1</v>
      </c>
      <c r="F3" s="2">
        <v>1</v>
      </c>
      <c r="G3" s="2">
        <v>2</v>
      </c>
      <c r="H3" s="2">
        <v>2</v>
      </c>
      <c r="I3" s="2">
        <v>0</v>
      </c>
      <c r="J3" s="2">
        <v>4</v>
      </c>
      <c r="K3" s="12" t="str">
        <f t="shared" si="0"/>
        <v>锁二</v>
      </c>
      <c r="L3" s="11">
        <f t="shared" ref="L3:L5" si="1">((COUNTA(A$2:A$15)-1)-C3)*3+J3</f>
        <v>4</v>
      </c>
      <c r="M3" s="11"/>
    </row>
    <row r="4" spans="1:13">
      <c r="A4" s="3">
        <v>3</v>
      </c>
      <c r="B4" s="2" t="s">
        <v>143</v>
      </c>
      <c r="C4" s="2">
        <v>3</v>
      </c>
      <c r="D4" s="2">
        <v>0</v>
      </c>
      <c r="E4" s="2">
        <v>3</v>
      </c>
      <c r="F4" s="2">
        <v>0</v>
      </c>
      <c r="G4" s="2">
        <v>3</v>
      </c>
      <c r="H4" s="2">
        <v>3</v>
      </c>
      <c r="I4" s="2">
        <v>0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144</v>
      </c>
      <c r="C5" s="2">
        <v>3</v>
      </c>
      <c r="D5" s="2">
        <v>0</v>
      </c>
      <c r="E5" s="2">
        <v>2</v>
      </c>
      <c r="F5" s="2">
        <v>1</v>
      </c>
      <c r="G5" s="2">
        <v>5</v>
      </c>
      <c r="H5" s="2">
        <v>7</v>
      </c>
      <c r="I5" s="2">
        <v>-2</v>
      </c>
      <c r="J5" s="2">
        <v>2</v>
      </c>
      <c r="K5" s="12" t="str">
        <f t="shared" si="0"/>
        <v/>
      </c>
      <c r="L5" s="11">
        <f t="shared" si="1"/>
        <v>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 enableFormatConditionsCalculation="0"/>
  <dimension ref="A1:M22"/>
  <sheetViews>
    <sheetView workbookViewId="0">
      <selection activeCell="J19" sqref="J19"/>
    </sheetView>
  </sheetViews>
  <sheetFormatPr defaultColWidth="8.875"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625" customWidth="1"/>
    <col min="10" max="10" width="5.1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171</v>
      </c>
      <c r="C2" s="2">
        <v>3</v>
      </c>
      <c r="D2" s="2">
        <v>3</v>
      </c>
      <c r="E2" s="2">
        <v>0</v>
      </c>
      <c r="F2" s="2">
        <v>0</v>
      </c>
      <c r="G2" s="2">
        <v>4</v>
      </c>
      <c r="H2" s="2">
        <v>1</v>
      </c>
      <c r="I2" s="2">
        <v>3</v>
      </c>
      <c r="J2" s="9">
        <v>9</v>
      </c>
      <c r="K2" s="12" t="str">
        <f t="shared" ref="K2:K5" si="0">IF(COUNTIF(L$2:L$15,"&lt;"&amp;$J2)=COUNTA(A$2:A$15)-1,"锁一", IF(COUNTIF(L$2:L$15,"&lt;"&amp;$J2)=COUNTA(A$2:A$15)-2,"锁二", IF(COUNTIF(L$2:L$15,"&lt;"&amp;$J2)=COUNTA(A$2:A$15)-3,"锁三",IF(COUNTIF(J$2:J$15,"&gt;"&amp;$L2)&gt;=COUNTA(A$2:A$15)-$K$1,"降决",""))))</f>
        <v>锁一</v>
      </c>
      <c r="L2" s="11">
        <f>((COUNTA(A$2:A$15)-1)-C2)*3+J2</f>
        <v>9</v>
      </c>
      <c r="M2" s="11"/>
    </row>
    <row r="3" spans="1:13">
      <c r="A3" s="3">
        <v>2</v>
      </c>
      <c r="B3" s="2" t="s">
        <v>172</v>
      </c>
      <c r="C3" s="2">
        <v>3</v>
      </c>
      <c r="D3" s="2">
        <v>2</v>
      </c>
      <c r="E3" s="2">
        <v>0</v>
      </c>
      <c r="F3" s="2">
        <v>1</v>
      </c>
      <c r="G3" s="2">
        <v>5</v>
      </c>
      <c r="H3" s="2">
        <v>2</v>
      </c>
      <c r="I3" s="2">
        <v>3</v>
      </c>
      <c r="J3" s="2">
        <v>6</v>
      </c>
      <c r="K3" s="12" t="str">
        <f t="shared" si="0"/>
        <v>锁二</v>
      </c>
      <c r="L3" s="11">
        <f t="shared" ref="L3:L5" si="1">((COUNTA(A$2:A$15)-1)-C3)*3+J3</f>
        <v>6</v>
      </c>
      <c r="M3" s="11"/>
    </row>
    <row r="4" spans="1:13">
      <c r="A4" s="3">
        <v>3</v>
      </c>
      <c r="B4" s="2" t="s">
        <v>173</v>
      </c>
      <c r="C4" s="2">
        <v>3</v>
      </c>
      <c r="D4" s="2">
        <v>1</v>
      </c>
      <c r="E4" s="2">
        <v>0</v>
      </c>
      <c r="F4" s="2">
        <v>2</v>
      </c>
      <c r="G4" s="2">
        <v>4</v>
      </c>
      <c r="H4" s="2">
        <v>5</v>
      </c>
      <c r="I4" s="2">
        <v>-1</v>
      </c>
      <c r="J4" s="2">
        <v>3</v>
      </c>
      <c r="K4" s="12" t="str">
        <f t="shared" si="0"/>
        <v>锁三</v>
      </c>
      <c r="L4" s="11">
        <f t="shared" si="1"/>
        <v>3</v>
      </c>
      <c r="M4" s="11"/>
    </row>
    <row r="5" spans="1:13">
      <c r="A5" s="3">
        <v>4</v>
      </c>
      <c r="B5" s="2" t="s">
        <v>174</v>
      </c>
      <c r="C5" s="2">
        <v>3</v>
      </c>
      <c r="D5" s="2">
        <v>0</v>
      </c>
      <c r="E5" s="2">
        <v>0</v>
      </c>
      <c r="F5" s="2">
        <v>3</v>
      </c>
      <c r="G5" s="2">
        <v>1</v>
      </c>
      <c r="H5" s="2">
        <v>6</v>
      </c>
      <c r="I5" s="2">
        <v>-5</v>
      </c>
      <c r="J5" s="2">
        <v>0</v>
      </c>
      <c r="K5" s="12" t="str">
        <f t="shared" si="0"/>
        <v/>
      </c>
      <c r="L5" s="11">
        <f t="shared" si="1"/>
        <v>0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E1" sqref="E1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C6">
        <v>2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H14"/>
  <sheetViews>
    <sheetView workbookViewId="0">
      <selection activeCell="F17" sqref="F17"/>
    </sheetView>
  </sheetViews>
  <sheetFormatPr defaultColWidth="8.875" defaultRowHeight="13.5"/>
  <cols>
    <col min="1" max="2" width="15.125" bestFit="1" customWidth="1"/>
    <col min="3" max="3" width="2.5" bestFit="1" customWidth="1"/>
    <col min="4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C2">
        <v>1</v>
      </c>
      <c r="D2">
        <v>1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C8">
        <v>0</v>
      </c>
      <c r="D8">
        <v>4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3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C2">
        <v>1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74</v>
      </c>
      <c r="B3" t="s">
        <v>75</v>
      </c>
      <c r="C3">
        <v>2</v>
      </c>
      <c r="D3">
        <v>6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C5">
        <v>1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73</v>
      </c>
      <c r="B6" t="s">
        <v>74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C8">
        <v>98</v>
      </c>
      <c r="D8">
        <v>99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C6">
        <v>0</v>
      </c>
      <c r="D6">
        <v>2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H14"/>
  <sheetViews>
    <sheetView workbookViewId="0">
      <selection activeCell="D4" sqref="D4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C5">
        <v>0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 enableFormatConditionsCalculation="0"/>
  <dimension ref="A1:H14"/>
  <sheetViews>
    <sheetView workbookViewId="0">
      <selection activeCell="B16" sqref="B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C3">
        <v>1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 enableFormatConditionsCalculation="0"/>
  <dimension ref="A1:H14"/>
  <sheetViews>
    <sheetView workbookViewId="0">
      <selection activeCell="D6" sqref="D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C6">
        <v>3</v>
      </c>
      <c r="D6">
        <v>3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C8">
        <v>0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93</v>
      </c>
      <c r="B9" t="s">
        <v>91</v>
      </c>
      <c r="C9">
        <v>2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 enableFormatConditionsCalculation="0"/>
  <dimension ref="A1:H14"/>
  <sheetViews>
    <sheetView workbookViewId="0">
      <selection activeCell="E16" sqref="E16"/>
    </sheetView>
  </sheetViews>
  <sheetFormatPr defaultColWidth="8.875"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1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97</v>
      </c>
      <c r="B3" t="s">
        <v>98</v>
      </c>
      <c r="C3">
        <v>1</v>
      </c>
      <c r="D3">
        <v>2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ca="1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ref="H4:H8" ca="1" si="0">F4&amp;G4</f>
        <v/>
      </c>
    </row>
    <row r="5" spans="1:8">
      <c r="A5" t="s">
        <v>95</v>
      </c>
      <c r="B5" t="s">
        <v>98</v>
      </c>
      <c r="C5">
        <v>0</v>
      </c>
      <c r="D5">
        <v>1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96</v>
      </c>
      <c r="B6" t="s">
        <v>97</v>
      </c>
      <c r="C6">
        <v>3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ca="1">F6&amp;G6</f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C8">
        <v>0</v>
      </c>
      <c r="D8">
        <v>3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98</v>
      </c>
      <c r="B9" t="s">
        <v>96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ca="1">F9&amp;G9</f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2018-06-28T05:51:22Z</dcterms:modified>
</cp:coreProperties>
</file>