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28502" codeName="{37E998C4-C9E5-D4B9-71C8-EB1FF731991C}"/>
  <workbookPr codeName="ThisWorkbook"/>
  <mc:AlternateContent xmlns:mc="http://schemas.openxmlformats.org/markup-compatibility/2006">
    <mc:Choice Requires="x15">
      <x15ac:absPath xmlns:x15ac="http://schemas.microsoft.com/office/spreadsheetml/2010/11/ac" url="/Volumes/Stores/Documents/ISCPrimierLeague/"/>
    </mc:Choice>
  </mc:AlternateContent>
  <bookViews>
    <workbookView xWindow="1740" yWindow="2900" windowWidth="19400" windowHeight="10520" tabRatio="780" activeTab="1"/>
  </bookViews>
  <sheets>
    <sheet name="A组積分榜" sheetId="1" r:id="rId1"/>
    <sheet name="达修波得" sheetId="7" r:id="rId2"/>
    <sheet name="B组積分榜" sheetId="17" r:id="rId3"/>
    <sheet name="C组積分榜" sheetId="18" r:id="rId4"/>
    <sheet name="D组積分榜" sheetId="19" r:id="rId5"/>
    <sheet name="F组積分榜" sheetId="21" r:id="rId6"/>
    <sheet name="E组積分榜" sheetId="20" r:id="rId7"/>
    <sheet name="H组積分榜" sheetId="23" r:id="rId8"/>
    <sheet name="G组積分榜" sheetId="22" r:id="rId9"/>
    <sheet name="A组" sheetId="2" r:id="rId10"/>
    <sheet name="B组" sheetId="10" r:id="rId11"/>
    <sheet name="C组" sheetId="11" r:id="rId12"/>
    <sheet name="D组" sheetId="12" r:id="rId13"/>
    <sheet name="E组" sheetId="13" r:id="rId14"/>
    <sheet name="F组" sheetId="14" r:id="rId15"/>
    <sheet name="G组" sheetId="15" r:id="rId16"/>
    <sheet name="H组" sheetId="16" r:id="rId17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5" i="19" l="1"/>
  <c r="L4" i="19"/>
  <c r="L3" i="19"/>
  <c r="L2" i="19"/>
  <c r="L5" i="18"/>
  <c r="L4" i="18"/>
  <c r="L3" i="18"/>
  <c r="L2" i="18"/>
  <c r="L5" i="17"/>
  <c r="L4" i="17"/>
  <c r="L3" i="17"/>
  <c r="L2" i="17"/>
  <c r="L3" i="1"/>
  <c r="L4" i="1"/>
  <c r="L5" i="1"/>
  <c r="L2" i="1"/>
  <c r="D107" i="7"/>
  <c r="J128" i="7"/>
  <c r="H128" i="7"/>
  <c r="H116" i="7"/>
  <c r="F128" i="7"/>
  <c r="F122" i="7"/>
  <c r="F116" i="7"/>
  <c r="F110" i="7"/>
  <c r="D128" i="7"/>
  <c r="D125" i="7"/>
  <c r="D122" i="7"/>
  <c r="D119" i="7"/>
  <c r="D116" i="7"/>
  <c r="D113" i="7"/>
  <c r="D110" i="7"/>
  <c r="B128" i="7"/>
  <c r="B125" i="7"/>
  <c r="B122" i="7"/>
  <c r="B119" i="7"/>
  <c r="B116" i="7"/>
  <c r="B113" i="7"/>
  <c r="B110" i="7"/>
  <c r="B127" i="7"/>
  <c r="B124" i="7"/>
  <c r="B121" i="7"/>
  <c r="B118" i="7"/>
  <c r="B115" i="7"/>
  <c r="B112" i="7"/>
  <c r="B109" i="7"/>
  <c r="B107" i="7"/>
  <c r="B106" i="7"/>
  <c r="G7" i="16"/>
  <c r="F7" i="16"/>
  <c r="G4" i="16"/>
  <c r="F4" i="16"/>
  <c r="G7" i="15"/>
  <c r="F7" i="15"/>
  <c r="G4" i="15"/>
  <c r="F4" i="15"/>
  <c r="G7" i="14"/>
  <c r="F7" i="14"/>
  <c r="G4" i="14"/>
  <c r="F4" i="14"/>
  <c r="G7" i="13"/>
  <c r="F7" i="13"/>
  <c r="G4" i="13"/>
  <c r="F4" i="13"/>
  <c r="G7" i="12"/>
  <c r="F7" i="12"/>
  <c r="G4" i="12"/>
  <c r="F4" i="12"/>
  <c r="G7" i="11"/>
  <c r="F7" i="11"/>
  <c r="G4" i="11"/>
  <c r="F4" i="11"/>
  <c r="G7" i="10"/>
  <c r="F7" i="10"/>
  <c r="G4" i="10"/>
  <c r="F4" i="10"/>
  <c r="G7" i="2"/>
  <c r="F7" i="2"/>
  <c r="G4" i="2"/>
  <c r="F4" i="2"/>
  <c r="F1" i="16"/>
  <c r="G1" i="16"/>
  <c r="F1" i="2"/>
  <c r="G1" i="2"/>
  <c r="G9" i="10"/>
  <c r="G9" i="11"/>
  <c r="F2" i="13"/>
  <c r="F5" i="15"/>
  <c r="G3" i="2"/>
  <c r="F6" i="14"/>
  <c r="G5" i="2"/>
  <c r="G2" i="13"/>
  <c r="G5" i="10"/>
  <c r="F3" i="10"/>
  <c r="F5" i="2"/>
  <c r="F5" i="10"/>
  <c r="F3" i="12"/>
  <c r="G3" i="15"/>
  <c r="F3" i="2"/>
  <c r="F3" i="15"/>
  <c r="F6" i="13"/>
  <c r="F6" i="10"/>
  <c r="G2" i="2"/>
  <c r="G3" i="12"/>
  <c r="F9" i="10"/>
  <c r="F9" i="12"/>
  <c r="G5" i="15"/>
  <c r="F2" i="2"/>
  <c r="F9" i="14"/>
  <c r="G9" i="12"/>
  <c r="F8" i="2"/>
  <c r="G3" i="10"/>
  <c r="G6" i="10"/>
  <c r="G9" i="14"/>
  <c r="G6" i="13"/>
  <c r="G6" i="14"/>
  <c r="G8" i="2"/>
  <c r="F9" i="11"/>
  <c r="G5" i="11"/>
  <c r="G3" i="16"/>
  <c r="G8" i="14"/>
  <c r="F8" i="16"/>
  <c r="G8" i="13"/>
  <c r="F6" i="15"/>
  <c r="G9" i="16"/>
  <c r="F3" i="16"/>
  <c r="F2" i="14"/>
  <c r="G6" i="12"/>
  <c r="F6" i="16"/>
  <c r="F8" i="13"/>
  <c r="G5" i="13"/>
  <c r="G5" i="12"/>
  <c r="G5" i="14"/>
  <c r="G6" i="2"/>
  <c r="F2" i="11"/>
  <c r="G9" i="2"/>
  <c r="G2" i="12"/>
  <c r="F8" i="11"/>
  <c r="F9" i="15"/>
  <c r="F6" i="2"/>
  <c r="G8" i="16"/>
  <c r="G2" i="10"/>
  <c r="G2" i="16"/>
  <c r="G8" i="11"/>
  <c r="G9" i="13"/>
  <c r="F9" i="16"/>
  <c r="G6" i="15"/>
  <c r="G2" i="14"/>
  <c r="G3" i="14"/>
  <c r="G2" i="11"/>
  <c r="F2" i="12"/>
  <c r="G3" i="11"/>
  <c r="G8" i="15"/>
  <c r="F3" i="14"/>
  <c r="G3" i="13"/>
  <c r="G9" i="15"/>
  <c r="G8" i="10"/>
  <c r="F3" i="11"/>
  <c r="G6" i="16"/>
  <c r="F6" i="11"/>
  <c r="F8" i="10"/>
  <c r="F2" i="10"/>
  <c r="G5" i="16"/>
  <c r="F5" i="14"/>
  <c r="G8" i="12"/>
  <c r="G6" i="11"/>
  <c r="F8" i="12"/>
  <c r="F8" i="15"/>
  <c r="F5" i="11"/>
  <c r="G2" i="15"/>
  <c r="F2" i="16"/>
  <c r="F5" i="12"/>
  <c r="F2" i="15"/>
  <c r="F6" i="12"/>
  <c r="F9" i="2"/>
  <c r="F5" i="16"/>
  <c r="F3" i="13"/>
  <c r="F5" i="13"/>
  <c r="F8" i="14"/>
  <c r="F9" i="13"/>
  <c r="H4" i="16"/>
  <c r="H7" i="2"/>
  <c r="H4" i="2"/>
  <c r="H7" i="16"/>
  <c r="H1" i="16"/>
  <c r="H1" i="2"/>
  <c r="H6" i="16"/>
  <c r="H5" i="2"/>
  <c r="H9" i="16"/>
  <c r="H5" i="16"/>
  <c r="H6" i="2"/>
  <c r="H8" i="16"/>
  <c r="H2" i="2"/>
  <c r="H2" i="16"/>
  <c r="H8" i="2"/>
  <c r="H3" i="2"/>
  <c r="H3" i="16"/>
  <c r="H9" i="2"/>
  <c r="F1" i="10"/>
  <c r="G1" i="10"/>
  <c r="F1" i="11"/>
  <c r="G1" i="11"/>
  <c r="F1" i="12"/>
  <c r="G1" i="12"/>
  <c r="H10" i="2"/>
  <c r="H11" i="2"/>
  <c r="H12" i="2"/>
  <c r="H13" i="2"/>
  <c r="H14" i="2"/>
  <c r="F32" i="7"/>
  <c r="E29" i="7"/>
  <c r="H31" i="7"/>
  <c r="F27" i="7"/>
  <c r="B28" i="7"/>
  <c r="C31" i="7"/>
  <c r="B31" i="7"/>
  <c r="E28" i="7"/>
  <c r="C30" i="7"/>
  <c r="E33" i="7"/>
  <c r="D33" i="7"/>
  <c r="C27" i="7"/>
  <c r="G29" i="7"/>
  <c r="F29" i="7"/>
  <c r="D31" i="7"/>
  <c r="B30" i="7"/>
  <c r="B32" i="7"/>
  <c r="C33" i="7"/>
  <c r="B29" i="7"/>
  <c r="E32" i="7"/>
  <c r="F28" i="7"/>
  <c r="D28" i="7"/>
  <c r="E27" i="7"/>
  <c r="H29" i="7"/>
  <c r="H32" i="7"/>
  <c r="H30" i="7"/>
  <c r="F33" i="7"/>
  <c r="D27" i="7"/>
  <c r="H27" i="7"/>
  <c r="G28" i="7"/>
  <c r="B33" i="7"/>
  <c r="G33" i="7"/>
  <c r="D30" i="7"/>
  <c r="G31" i="7"/>
  <c r="G27" i="7"/>
  <c r="H28" i="7"/>
  <c r="E31" i="7"/>
  <c r="C32" i="7"/>
  <c r="C29" i="7"/>
  <c r="D32" i="7"/>
  <c r="G30" i="7"/>
  <c r="F30" i="7"/>
  <c r="H7" i="10"/>
  <c r="H4" i="12"/>
  <c r="H7" i="11"/>
  <c r="H1" i="11"/>
  <c r="H4" i="11"/>
  <c r="H1" i="10"/>
  <c r="H7" i="12"/>
  <c r="H1" i="12"/>
  <c r="H4" i="10"/>
  <c r="H9" i="11"/>
  <c r="H6" i="12"/>
  <c r="H2" i="12"/>
  <c r="H6" i="11"/>
  <c r="H2" i="11"/>
  <c r="H6" i="10"/>
  <c r="H2" i="10"/>
  <c r="H5" i="11"/>
  <c r="H8" i="12"/>
  <c r="H8" i="11"/>
  <c r="H8" i="10"/>
  <c r="H9" i="12"/>
  <c r="H5" i="12"/>
  <c r="H9" i="10"/>
  <c r="H5" i="10"/>
  <c r="H3" i="12"/>
  <c r="H3" i="11"/>
  <c r="H3" i="10"/>
  <c r="F1" i="13"/>
  <c r="G1" i="13"/>
  <c r="H4" i="13"/>
  <c r="F1" i="14"/>
  <c r="G1" i="14"/>
  <c r="H7" i="14"/>
  <c r="F1" i="15"/>
  <c r="G1" i="15"/>
  <c r="H14" i="16"/>
  <c r="H13" i="16"/>
  <c r="H12" i="16"/>
  <c r="H11" i="16"/>
  <c r="H10" i="16"/>
  <c r="H14" i="15"/>
  <c r="H13" i="15"/>
  <c r="H12" i="15"/>
  <c r="H11" i="15"/>
  <c r="H10" i="15"/>
  <c r="H14" i="14"/>
  <c r="H13" i="14"/>
  <c r="H12" i="14"/>
  <c r="H11" i="14"/>
  <c r="H10" i="14"/>
  <c r="H14" i="13"/>
  <c r="H13" i="13"/>
  <c r="H12" i="13"/>
  <c r="H11" i="13"/>
  <c r="H10" i="13"/>
  <c r="H14" i="12"/>
  <c r="H13" i="12"/>
  <c r="H12" i="12"/>
  <c r="H11" i="12"/>
  <c r="H10" i="12"/>
  <c r="H14" i="11"/>
  <c r="H13" i="11"/>
  <c r="H12" i="11"/>
  <c r="H11" i="11"/>
  <c r="H10" i="11"/>
  <c r="H14" i="10"/>
  <c r="H13" i="10"/>
  <c r="H12" i="10"/>
  <c r="H11" i="10"/>
  <c r="H10" i="10"/>
  <c r="B42" i="7"/>
  <c r="H42" i="7"/>
  <c r="H50" i="7"/>
  <c r="G60" i="7"/>
  <c r="F52" i="7"/>
  <c r="B48" i="7"/>
  <c r="H49" i="7"/>
  <c r="F58" i="7"/>
  <c r="C39" i="7"/>
  <c r="E58" i="7"/>
  <c r="C63" i="7"/>
  <c r="C57" i="7"/>
  <c r="F43" i="7"/>
  <c r="C47" i="7"/>
  <c r="H52" i="7"/>
  <c r="G41" i="7"/>
  <c r="F63" i="7"/>
  <c r="E38" i="7"/>
  <c r="B52" i="7"/>
  <c r="F37" i="7"/>
  <c r="B49" i="7"/>
  <c r="E53" i="7"/>
  <c r="D51" i="7"/>
  <c r="E62" i="7"/>
  <c r="H37" i="7"/>
  <c r="F50" i="7"/>
  <c r="H47" i="7"/>
  <c r="F59" i="7"/>
  <c r="F48" i="7"/>
  <c r="D40" i="7"/>
  <c r="G43" i="7"/>
  <c r="E39" i="7"/>
  <c r="G53" i="7"/>
  <c r="G58" i="7"/>
  <c r="F62" i="7"/>
  <c r="F39" i="7"/>
  <c r="E49" i="7"/>
  <c r="C41" i="7"/>
  <c r="B40" i="7"/>
  <c r="C61" i="7"/>
  <c r="H58" i="7"/>
  <c r="G63" i="7"/>
  <c r="D63" i="7"/>
  <c r="E59" i="7"/>
  <c r="C59" i="7"/>
  <c r="G50" i="7"/>
  <c r="G48" i="7"/>
  <c r="D41" i="7"/>
  <c r="D61" i="7"/>
  <c r="E61" i="7"/>
  <c r="D42" i="7"/>
  <c r="B38" i="7"/>
  <c r="D43" i="7"/>
  <c r="C52" i="7"/>
  <c r="H57" i="7"/>
  <c r="G57" i="7"/>
  <c r="B50" i="7"/>
  <c r="H48" i="7"/>
  <c r="B41" i="7"/>
  <c r="D37" i="7"/>
  <c r="G61" i="7"/>
  <c r="D53" i="7"/>
  <c r="C40" i="7"/>
  <c r="C37" i="7"/>
  <c r="B62" i="7"/>
  <c r="C49" i="7"/>
  <c r="F57" i="7"/>
  <c r="C51" i="7"/>
  <c r="H62" i="7"/>
  <c r="F40" i="7"/>
  <c r="F49" i="7"/>
  <c r="F53" i="7"/>
  <c r="H51" i="7"/>
  <c r="B51" i="7"/>
  <c r="C50" i="7"/>
  <c r="E63" i="7"/>
  <c r="B39" i="7"/>
  <c r="D58" i="7"/>
  <c r="F42" i="7"/>
  <c r="C62" i="7"/>
  <c r="D47" i="7"/>
  <c r="H59" i="7"/>
  <c r="C53" i="7"/>
  <c r="D48" i="7"/>
  <c r="E52" i="7"/>
  <c r="B59" i="7"/>
  <c r="E51" i="7"/>
  <c r="D60" i="7"/>
  <c r="G47" i="7"/>
  <c r="E47" i="7"/>
  <c r="D38" i="7"/>
  <c r="B61" i="7"/>
  <c r="C60" i="7"/>
  <c r="E48" i="7"/>
  <c r="H60" i="7"/>
  <c r="G49" i="7"/>
  <c r="H39" i="7"/>
  <c r="B63" i="7"/>
  <c r="G38" i="7"/>
  <c r="F60" i="7"/>
  <c r="E43" i="7"/>
  <c r="F38" i="7"/>
  <c r="H61" i="7"/>
  <c r="H41" i="7"/>
  <c r="G37" i="7"/>
  <c r="F47" i="7"/>
  <c r="D57" i="7"/>
  <c r="E57" i="7"/>
  <c r="B53" i="7"/>
  <c r="D62" i="7"/>
  <c r="G51" i="7"/>
  <c r="H38" i="7"/>
  <c r="E42" i="7"/>
  <c r="G39" i="7"/>
  <c r="C43" i="7"/>
  <c r="B60" i="7"/>
  <c r="D50" i="7"/>
  <c r="D52" i="7"/>
  <c r="E41" i="7"/>
  <c r="E37" i="7"/>
  <c r="G59" i="7"/>
  <c r="B43" i="7"/>
  <c r="H40" i="7"/>
  <c r="C42" i="7"/>
  <c r="G40" i="7"/>
  <c r="B58" i="7"/>
  <c r="K4" i="18"/>
  <c r="K4" i="19"/>
  <c r="K5" i="23"/>
  <c r="K4" i="23"/>
  <c r="K3" i="23"/>
  <c r="K2" i="23"/>
  <c r="K5" i="18"/>
  <c r="K4" i="21"/>
  <c r="K5" i="22"/>
  <c r="K3" i="22"/>
  <c r="K2" i="22"/>
  <c r="K4" i="22"/>
  <c r="K5" i="21"/>
  <c r="K3" i="21"/>
  <c r="K2" i="21"/>
  <c r="K5" i="20"/>
  <c r="K2" i="20"/>
  <c r="K4" i="20"/>
  <c r="K3" i="20"/>
  <c r="K5" i="19"/>
  <c r="K3" i="19"/>
  <c r="K2" i="19"/>
  <c r="K3" i="18"/>
  <c r="K2" i="18"/>
  <c r="K4" i="17"/>
  <c r="K5" i="17"/>
  <c r="K3" i="17"/>
  <c r="K2" i="17"/>
  <c r="K3" i="1"/>
  <c r="K4" i="1"/>
  <c r="K2" i="1"/>
  <c r="K5" i="1"/>
  <c r="H1" i="14"/>
  <c r="H7" i="15"/>
  <c r="H4" i="15"/>
  <c r="H1" i="15"/>
  <c r="H7" i="13"/>
  <c r="H4" i="14"/>
  <c r="H1" i="13"/>
  <c r="H9" i="14"/>
  <c r="H6" i="15"/>
  <c r="H2" i="15"/>
  <c r="H6" i="14"/>
  <c r="H2" i="14"/>
  <c r="H9" i="13"/>
  <c r="H5" i="13"/>
  <c r="H5" i="15"/>
  <c r="H8" i="15"/>
  <c r="H8" i="14"/>
  <c r="H3" i="13"/>
  <c r="H9" i="15"/>
  <c r="H5" i="14"/>
  <c r="H8" i="13"/>
  <c r="H3" i="15"/>
  <c r="H3" i="14"/>
  <c r="H6" i="13"/>
  <c r="H2" i="13"/>
  <c r="B78" i="7"/>
  <c r="B98" i="7"/>
  <c r="F70" i="7"/>
  <c r="E67" i="7"/>
  <c r="H89" i="7"/>
  <c r="B71" i="7"/>
  <c r="C80" i="7"/>
  <c r="D77" i="7"/>
  <c r="D97" i="7"/>
  <c r="F87" i="7"/>
  <c r="C83" i="7"/>
  <c r="C103" i="7"/>
  <c r="F72" i="7"/>
  <c r="B68" i="7"/>
  <c r="B89" i="7"/>
  <c r="B72" i="7"/>
  <c r="D78" i="7"/>
  <c r="C69" i="7"/>
  <c r="B73" i="7"/>
  <c r="E89" i="7"/>
  <c r="D91" i="7"/>
  <c r="D73" i="7"/>
  <c r="C90" i="7"/>
  <c r="G103" i="7"/>
  <c r="G80" i="7"/>
  <c r="H82" i="7"/>
  <c r="H77" i="7"/>
  <c r="F79" i="7"/>
  <c r="E73" i="7"/>
  <c r="D82" i="7"/>
  <c r="F73" i="7"/>
  <c r="C82" i="7"/>
  <c r="D72" i="7"/>
  <c r="F90" i="7"/>
  <c r="C92" i="7"/>
  <c r="B70" i="7"/>
  <c r="B90" i="7"/>
  <c r="E99" i="7"/>
  <c r="C72" i="7"/>
  <c r="F93" i="7"/>
  <c r="H101" i="7"/>
  <c r="E103" i="7"/>
  <c r="D90" i="7"/>
  <c r="E81" i="7"/>
  <c r="C101" i="7"/>
  <c r="D100" i="7"/>
  <c r="D88" i="7"/>
  <c r="C79" i="7"/>
  <c r="G91" i="7"/>
  <c r="F88" i="7"/>
  <c r="H71" i="7"/>
  <c r="E69" i="7"/>
  <c r="G71" i="7"/>
  <c r="G70" i="7"/>
  <c r="H98" i="7"/>
  <c r="G78" i="7"/>
  <c r="E97" i="7"/>
  <c r="E102" i="7"/>
  <c r="E78" i="7"/>
  <c r="G89" i="7"/>
  <c r="D81" i="7"/>
  <c r="E101" i="7"/>
  <c r="E83" i="7"/>
  <c r="H88" i="7"/>
  <c r="G68" i="7"/>
  <c r="G98" i="7"/>
  <c r="H72" i="7"/>
  <c r="D71" i="7"/>
  <c r="D101" i="7"/>
  <c r="F83" i="7"/>
  <c r="H67" i="7"/>
  <c r="C81" i="7"/>
  <c r="B83" i="7"/>
  <c r="D80" i="7"/>
  <c r="C99" i="7"/>
  <c r="G88" i="7"/>
  <c r="G81" i="7"/>
  <c r="D92" i="7"/>
  <c r="H81" i="7"/>
  <c r="F99" i="7"/>
  <c r="G87" i="7"/>
  <c r="E92" i="7"/>
  <c r="D103" i="7"/>
  <c r="H97" i="7"/>
  <c r="H69" i="7"/>
  <c r="E68" i="7"/>
  <c r="F69" i="7"/>
  <c r="E93" i="7"/>
  <c r="C97" i="7"/>
  <c r="B81" i="7"/>
  <c r="F80" i="7"/>
  <c r="E87" i="7"/>
  <c r="B69" i="7"/>
  <c r="F82" i="7"/>
  <c r="E72" i="7"/>
  <c r="E79" i="7"/>
  <c r="F92" i="7"/>
  <c r="H99" i="7"/>
  <c r="D93" i="7"/>
  <c r="C89" i="7"/>
  <c r="G93" i="7"/>
  <c r="E98" i="7"/>
  <c r="G83" i="7"/>
  <c r="H87" i="7"/>
  <c r="H91" i="7"/>
  <c r="C91" i="7"/>
  <c r="C67" i="7"/>
  <c r="H70" i="7"/>
  <c r="G73" i="7"/>
  <c r="B91" i="7"/>
  <c r="F98" i="7"/>
  <c r="C102" i="7"/>
  <c r="B80" i="7"/>
  <c r="C93" i="7"/>
  <c r="B101" i="7"/>
  <c r="B93" i="7"/>
  <c r="C77" i="7"/>
  <c r="F68" i="7"/>
  <c r="C87" i="7"/>
  <c r="B103" i="7"/>
  <c r="H80" i="7"/>
  <c r="C100" i="7"/>
  <c r="F103" i="7"/>
  <c r="C73" i="7"/>
  <c r="E88" i="7"/>
  <c r="E77" i="7"/>
  <c r="H78" i="7"/>
  <c r="G100" i="7"/>
  <c r="D67" i="7"/>
  <c r="G90" i="7"/>
  <c r="H79" i="7"/>
  <c r="G99" i="7"/>
  <c r="H100" i="7"/>
  <c r="D68" i="7"/>
  <c r="B82" i="7"/>
  <c r="F77" i="7"/>
  <c r="C70" i="7"/>
  <c r="E71" i="7"/>
  <c r="H90" i="7"/>
  <c r="F100" i="7"/>
  <c r="F78" i="7"/>
  <c r="E82" i="7"/>
  <c r="D102" i="7"/>
  <c r="B102" i="7"/>
  <c r="C71" i="7"/>
  <c r="F97" i="7"/>
  <c r="G69" i="7"/>
  <c r="D83" i="7"/>
  <c r="G67" i="7"/>
  <c r="F89" i="7"/>
  <c r="B88" i="7"/>
  <c r="B79" i="7"/>
  <c r="B100" i="7"/>
  <c r="D87" i="7"/>
  <c r="D98" i="7"/>
  <c r="E91" i="7"/>
  <c r="B92" i="7"/>
  <c r="D70" i="7"/>
  <c r="G97" i="7"/>
  <c r="G101" i="7"/>
  <c r="G77" i="7"/>
  <c r="F102" i="7"/>
  <c r="H92" i="7"/>
  <c r="G79" i="7"/>
  <c r="H68" i="7"/>
  <c r="H102" i="7"/>
  <c r="F67" i="7"/>
  <c r="B99" i="7"/>
  <c r="H17" i="7"/>
  <c r="H18" i="7"/>
  <c r="H21" i="7"/>
  <c r="H20" i="7"/>
  <c r="H19" i="7"/>
  <c r="H22" i="7"/>
  <c r="G19" i="7"/>
  <c r="G20" i="7"/>
  <c r="G17" i="7"/>
  <c r="G18" i="7"/>
  <c r="G21" i="7"/>
  <c r="G23" i="7"/>
  <c r="F22" i="7"/>
  <c r="F23" i="7"/>
  <c r="F17" i="7"/>
  <c r="F18" i="7"/>
  <c r="F19" i="7"/>
  <c r="F20" i="7"/>
  <c r="E19" i="7"/>
  <c r="E18" i="7"/>
  <c r="E17" i="7"/>
  <c r="E21" i="7"/>
  <c r="E23" i="7"/>
  <c r="E22" i="7"/>
  <c r="D20" i="7"/>
  <c r="D22" i="7"/>
  <c r="D21" i="7"/>
  <c r="D23" i="7"/>
  <c r="D18" i="7"/>
  <c r="D17" i="7"/>
  <c r="C17" i="7"/>
  <c r="C21" i="7"/>
  <c r="C20" i="7"/>
  <c r="C23" i="7"/>
  <c r="C19" i="7"/>
  <c r="C22" i="7"/>
  <c r="B20" i="7"/>
  <c r="B23" i="7"/>
  <c r="B19" i="7"/>
  <c r="B22" i="7"/>
  <c r="B21" i="7"/>
  <c r="B18" i="7"/>
  <c r="H15" i="7"/>
  <c r="G15" i="7"/>
  <c r="F15" i="7"/>
  <c r="E15" i="7"/>
  <c r="D15" i="7"/>
  <c r="C15" i="7"/>
  <c r="A16" i="7"/>
  <c r="B15" i="7"/>
</calcChain>
</file>

<file path=xl/sharedStrings.xml><?xml version="1.0" encoding="utf-8"?>
<sst xmlns="http://schemas.openxmlformats.org/spreadsheetml/2006/main" count="510" uniqueCount="174">
  <si>
    <t>队名</t>
    <phoneticPr fontId="1"/>
  </si>
  <si>
    <t>排名</t>
    <phoneticPr fontId="1"/>
  </si>
  <si>
    <t>比分</t>
    <phoneticPr fontId="1"/>
  </si>
  <si>
    <t>统计到</t>
    <phoneticPr fontId="1"/>
  </si>
  <si>
    <r>
      <t>球</t>
    </r>
    <r>
      <rPr>
        <sz val="11"/>
        <color theme="1"/>
        <rFont val="DengXian"/>
        <family val="2"/>
        <charset val="128"/>
        <scheme val="minor"/>
      </rPr>
      <t>队数</t>
    </r>
    <phoneticPr fontId="1"/>
  </si>
  <si>
    <r>
      <t>循</t>
    </r>
    <r>
      <rPr>
        <sz val="11"/>
        <color theme="1"/>
        <rFont val="DengXian"/>
        <family val="2"/>
        <charset val="128"/>
        <scheme val="minor"/>
      </rPr>
      <t>环数</t>
    </r>
    <phoneticPr fontId="1"/>
  </si>
  <si>
    <t>轮</t>
    <phoneticPr fontId="1"/>
  </si>
  <si>
    <t>支</t>
    <phoneticPr fontId="1"/>
  </si>
  <si>
    <t>次</t>
    <phoneticPr fontId="1"/>
  </si>
  <si>
    <t>第1輪</t>
  </si>
  <si>
    <t>第2輪</t>
  </si>
  <si>
    <t>第3輪</t>
  </si>
  <si>
    <t>胜</t>
    <phoneticPr fontId="1"/>
  </si>
  <si>
    <t>平</t>
    <phoneticPr fontId="1"/>
  </si>
  <si>
    <t>负</t>
    <phoneticPr fontId="1"/>
  </si>
  <si>
    <t>失</t>
    <phoneticPr fontId="1"/>
  </si>
  <si>
    <r>
      <t>净</t>
    </r>
    <r>
      <rPr>
        <sz val="11"/>
        <color theme="1"/>
        <rFont val="DengXian"/>
        <family val="2"/>
        <charset val="128"/>
        <scheme val="minor"/>
      </rPr>
      <t/>
    </r>
    <phoneticPr fontId="1"/>
  </si>
  <si>
    <t>进</t>
    <phoneticPr fontId="1"/>
  </si>
  <si>
    <t>积分</t>
    <phoneticPr fontId="1"/>
  </si>
  <si>
    <t>总</t>
    <phoneticPr fontId="1"/>
  </si>
  <si>
    <t>磊</t>
  </si>
  <si>
    <t>二</t>
    <phoneticPr fontId="1"/>
  </si>
  <si>
    <t>爷</t>
  </si>
  <si>
    <t>宇</t>
    <rPh sb="0" eb="1">
      <t>yu</t>
    </rPh>
    <phoneticPr fontId="1"/>
  </si>
  <si>
    <t>贝</t>
  </si>
  <si>
    <t>二</t>
  </si>
  <si>
    <t>B</t>
    <phoneticPr fontId="1"/>
  </si>
  <si>
    <t>C</t>
    <phoneticPr fontId="1"/>
  </si>
  <si>
    <t>D</t>
    <phoneticPr fontId="1"/>
  </si>
  <si>
    <t>理分</t>
    <phoneticPr fontId="1"/>
  </si>
  <si>
    <t>E</t>
    <phoneticPr fontId="1"/>
  </si>
  <si>
    <t>磊</t>
    <phoneticPr fontId="1"/>
  </si>
  <si>
    <t>黑</t>
  </si>
  <si>
    <t>举</t>
    <rPh sb="0" eb="1">
      <t>j</t>
    </rPh>
    <phoneticPr fontId="1"/>
  </si>
  <si>
    <r>
      <t>A</t>
    </r>
    <r>
      <rPr>
        <sz val="11"/>
        <color theme="1"/>
        <rFont val="DengXian"/>
        <family val="2"/>
        <charset val="128"/>
        <scheme val="minor"/>
      </rPr>
      <t>组</t>
    </r>
  </si>
  <si>
    <r>
      <t>B</t>
    </r>
    <r>
      <rPr>
        <sz val="11"/>
        <color theme="1"/>
        <rFont val="DengXian"/>
        <family val="2"/>
        <charset val="128"/>
        <scheme val="minor"/>
      </rPr>
      <t>组</t>
    </r>
    <phoneticPr fontId="1"/>
  </si>
  <si>
    <r>
      <t>C</t>
    </r>
    <r>
      <rPr>
        <sz val="11"/>
        <color theme="1"/>
        <rFont val="DengXian"/>
        <family val="2"/>
        <charset val="128"/>
        <scheme val="minor"/>
      </rPr>
      <t>组</t>
    </r>
    <phoneticPr fontId="1"/>
  </si>
  <si>
    <r>
      <t>D</t>
    </r>
    <r>
      <rPr>
        <sz val="11"/>
        <color theme="1"/>
        <rFont val="DengXian"/>
        <family val="2"/>
        <charset val="128"/>
        <scheme val="minor"/>
      </rPr>
      <t>组</t>
    </r>
    <phoneticPr fontId="1"/>
  </si>
  <si>
    <r>
      <t>E</t>
    </r>
    <r>
      <rPr>
        <sz val="11"/>
        <color theme="1"/>
        <rFont val="DengXian"/>
        <family val="2"/>
        <charset val="128"/>
        <scheme val="minor"/>
      </rPr>
      <t>组</t>
    </r>
    <phoneticPr fontId="1"/>
  </si>
  <si>
    <r>
      <t>F</t>
    </r>
    <r>
      <rPr>
        <sz val="11"/>
        <color theme="1"/>
        <rFont val="DengXian"/>
        <family val="2"/>
        <charset val="128"/>
        <scheme val="minor"/>
      </rPr>
      <t>组</t>
    </r>
    <phoneticPr fontId="1"/>
  </si>
  <si>
    <r>
      <t>G</t>
    </r>
    <r>
      <rPr>
        <sz val="11"/>
        <color theme="1"/>
        <rFont val="DengXian"/>
        <family val="2"/>
        <charset val="128"/>
        <scheme val="minor"/>
      </rPr>
      <t>组</t>
    </r>
    <phoneticPr fontId="1"/>
  </si>
  <si>
    <r>
      <t>H</t>
    </r>
    <r>
      <rPr>
        <sz val="11"/>
        <color theme="1"/>
        <rFont val="DengXian"/>
        <family val="2"/>
        <charset val="128"/>
        <scheme val="minor"/>
      </rPr>
      <t>组</t>
    </r>
    <phoneticPr fontId="1"/>
  </si>
  <si>
    <r>
      <t>俄</t>
    </r>
    <r>
      <rPr>
        <sz val="11"/>
        <color theme="1"/>
        <rFont val="DengXian"/>
        <family val="2"/>
        <charset val="128"/>
        <scheme val="minor"/>
      </rPr>
      <t>罗斯</t>
    </r>
    <phoneticPr fontId="1"/>
  </si>
  <si>
    <t>乌拉圭</t>
    <phoneticPr fontId="1"/>
  </si>
  <si>
    <t>葡萄牙</t>
    <phoneticPr fontId="1"/>
  </si>
  <si>
    <t>西班牙</t>
    <phoneticPr fontId="1"/>
  </si>
  <si>
    <t>法国</t>
    <phoneticPr fontId="1"/>
  </si>
  <si>
    <t>阿根廷</t>
    <phoneticPr fontId="1"/>
  </si>
  <si>
    <r>
      <t>克</t>
    </r>
    <r>
      <rPr>
        <sz val="11"/>
        <color theme="1"/>
        <rFont val="DengXian"/>
        <family val="2"/>
        <charset val="128"/>
        <scheme val="minor"/>
      </rPr>
      <t>罗地亚</t>
    </r>
    <phoneticPr fontId="1"/>
  </si>
  <si>
    <r>
      <t>尼日利</t>
    </r>
    <r>
      <rPr>
        <sz val="11"/>
        <color theme="1"/>
        <rFont val="DengXian"/>
        <family val="2"/>
        <charset val="128"/>
        <scheme val="minor"/>
      </rPr>
      <t>亚</t>
    </r>
    <phoneticPr fontId="1"/>
  </si>
  <si>
    <t>巴西</t>
    <phoneticPr fontId="1"/>
  </si>
  <si>
    <r>
      <t>塞</t>
    </r>
    <r>
      <rPr>
        <sz val="11"/>
        <color theme="1"/>
        <rFont val="DengXian"/>
        <family val="2"/>
        <charset val="128"/>
        <scheme val="minor"/>
      </rPr>
      <t>尔维亚</t>
    </r>
    <phoneticPr fontId="1"/>
  </si>
  <si>
    <t>七</t>
    <phoneticPr fontId="1"/>
  </si>
  <si>
    <t>瑞士</t>
    <phoneticPr fontId="1"/>
  </si>
  <si>
    <t>瑞典</t>
    <phoneticPr fontId="1"/>
  </si>
  <si>
    <t>德国</t>
    <phoneticPr fontId="1"/>
  </si>
  <si>
    <r>
      <t>比利</t>
    </r>
    <r>
      <rPr>
        <sz val="11"/>
        <color theme="1"/>
        <rFont val="DengXian"/>
        <family val="2"/>
        <charset val="128"/>
        <scheme val="minor"/>
      </rPr>
      <t>时</t>
    </r>
    <phoneticPr fontId="1"/>
  </si>
  <si>
    <r>
      <t>英格</t>
    </r>
    <r>
      <rPr>
        <sz val="11"/>
        <color theme="1"/>
        <rFont val="DengXian"/>
        <family val="2"/>
        <charset val="128"/>
        <scheme val="minor"/>
      </rPr>
      <t>兰</t>
    </r>
    <phoneticPr fontId="1"/>
  </si>
  <si>
    <t>日本</t>
    <phoneticPr fontId="1"/>
  </si>
  <si>
    <r>
      <t>波</t>
    </r>
    <r>
      <rPr>
        <sz val="11"/>
        <color theme="1"/>
        <rFont val="DengXian"/>
        <family val="2"/>
        <charset val="128"/>
        <scheme val="minor"/>
      </rPr>
      <t>兰</t>
    </r>
    <phoneticPr fontId="1"/>
  </si>
  <si>
    <t>丹麦</t>
    <phoneticPr fontId="1"/>
  </si>
  <si>
    <t>墨西哥</t>
    <phoneticPr fontId="1"/>
  </si>
  <si>
    <t>埃及</t>
  </si>
  <si>
    <t>沙特阿拉伯</t>
  </si>
  <si>
    <t>乌拉圭</t>
  </si>
  <si>
    <t>俄罗斯</t>
  </si>
  <si>
    <r>
      <t>俄</t>
    </r>
    <r>
      <rPr>
        <sz val="11"/>
        <color theme="1"/>
        <rFont val="DengXian"/>
        <family val="2"/>
        <charset val="128"/>
        <scheme val="minor"/>
      </rPr>
      <t>罗</t>
    </r>
    <r>
      <rPr>
        <sz val="11"/>
        <color theme="1"/>
        <rFont val="DengXian"/>
        <family val="2"/>
        <charset val="128"/>
        <scheme val="minor"/>
      </rPr>
      <t>斯</t>
    </r>
    <phoneticPr fontId="1"/>
  </si>
  <si>
    <r>
      <rPr>
        <sz val="11"/>
        <color theme="1"/>
        <rFont val="DengXian"/>
        <family val="2"/>
        <charset val="128"/>
        <scheme val="minor"/>
      </rPr>
      <t>乌</t>
    </r>
    <r>
      <rPr>
        <sz val="11"/>
        <color theme="1"/>
        <rFont val="DengXian"/>
        <family val="2"/>
        <charset val="128"/>
        <scheme val="minor"/>
      </rPr>
      <t>拉圭</t>
    </r>
    <phoneticPr fontId="1"/>
  </si>
  <si>
    <t>摩洛哥</t>
  </si>
  <si>
    <t>西班牙</t>
  </si>
  <si>
    <t>伊朗</t>
  </si>
  <si>
    <t>葡萄牙</t>
  </si>
  <si>
    <t>秘鲁</t>
  </si>
  <si>
    <t>澳大利亚</t>
  </si>
  <si>
    <t>丹麦</t>
  </si>
  <si>
    <t>法国</t>
  </si>
  <si>
    <t>冰岛</t>
  </si>
  <si>
    <t>阿根廷</t>
  </si>
  <si>
    <t>克罗地亚</t>
  </si>
  <si>
    <t>尼日利亚</t>
  </si>
  <si>
    <t>瑞士</t>
  </si>
  <si>
    <t>巴西</t>
  </si>
  <si>
    <t>哥斯达黎加</t>
  </si>
  <si>
    <t>塞尔维亚</t>
  </si>
  <si>
    <t>F</t>
    <phoneticPr fontId="1"/>
  </si>
  <si>
    <t>韩国</t>
  </si>
  <si>
    <t>瑞典</t>
  </si>
  <si>
    <t>德国</t>
  </si>
  <si>
    <t>墨西哥</t>
  </si>
  <si>
    <t>G</t>
    <phoneticPr fontId="1"/>
  </si>
  <si>
    <t>比利时</t>
  </si>
  <si>
    <t>英格兰</t>
  </si>
  <si>
    <t>巴拿马</t>
  </si>
  <si>
    <t>突尼斯</t>
  </si>
  <si>
    <t>H</t>
    <phoneticPr fontId="1"/>
  </si>
  <si>
    <t>日本</t>
  </si>
  <si>
    <t>哥伦比亚</t>
  </si>
  <si>
    <t>波兰</t>
  </si>
  <si>
    <t>塞内加尔</t>
  </si>
  <si>
    <t>I</t>
    <phoneticPr fontId="1"/>
  </si>
  <si>
    <t>塞内加尔</t>
    <phoneticPr fontId="1"/>
  </si>
  <si>
    <r>
      <t>B</t>
    </r>
    <r>
      <rPr>
        <sz val="11"/>
        <color theme="1"/>
        <rFont val="DengXian"/>
        <family val="2"/>
        <charset val="128"/>
        <scheme val="minor"/>
      </rPr>
      <t>组</t>
    </r>
  </si>
  <si>
    <r>
      <t>C</t>
    </r>
    <r>
      <rPr>
        <sz val="11"/>
        <color theme="1"/>
        <rFont val="DengXian"/>
        <family val="2"/>
        <charset val="128"/>
        <scheme val="minor"/>
      </rPr>
      <t>组</t>
    </r>
    <phoneticPr fontId="1"/>
  </si>
  <si>
    <r>
      <t>D</t>
    </r>
    <r>
      <rPr>
        <sz val="11"/>
        <color theme="1"/>
        <rFont val="DengXian"/>
        <family val="2"/>
        <charset val="128"/>
        <scheme val="minor"/>
      </rPr>
      <t>组</t>
    </r>
    <phoneticPr fontId="1"/>
  </si>
  <si>
    <r>
      <t>E</t>
    </r>
    <r>
      <rPr>
        <sz val="11"/>
        <color theme="1"/>
        <rFont val="DengXian"/>
        <family val="2"/>
        <charset val="128"/>
        <scheme val="minor"/>
      </rPr>
      <t>组</t>
    </r>
    <phoneticPr fontId="1"/>
  </si>
  <si>
    <t>七</t>
  </si>
  <si>
    <r>
      <t>哥</t>
    </r>
    <r>
      <rPr>
        <sz val="11"/>
        <color theme="1"/>
        <rFont val="DengXian"/>
        <family val="2"/>
        <charset val="128"/>
        <scheme val="minor"/>
      </rPr>
      <t>伦</t>
    </r>
    <r>
      <rPr>
        <sz val="11"/>
        <color theme="1"/>
        <rFont val="DengXian"/>
        <family val="2"/>
        <charset val="128"/>
        <scheme val="minor"/>
      </rPr>
      <t>比</t>
    </r>
    <r>
      <rPr>
        <sz val="11"/>
        <color theme="1"/>
        <rFont val="DengXian"/>
        <family val="2"/>
        <charset val="128"/>
        <scheme val="minor"/>
      </rPr>
      <t>亚</t>
    </r>
    <r>
      <rPr>
        <sz val="11"/>
        <color theme="1"/>
        <rFont val="DengXian"/>
        <family val="2"/>
        <charset val="128"/>
        <scheme val="minor"/>
      </rPr>
      <t/>
    </r>
    <phoneticPr fontId="1"/>
  </si>
  <si>
    <t>埃及</t>
    <phoneticPr fontId="1"/>
  </si>
  <si>
    <r>
      <t>冰</t>
    </r>
    <r>
      <rPr>
        <sz val="11"/>
        <color theme="1"/>
        <rFont val="DengXian"/>
        <family val="2"/>
        <charset val="128"/>
        <scheme val="minor"/>
      </rPr>
      <t>岛</t>
    </r>
    <phoneticPr fontId="1"/>
  </si>
  <si>
    <t>哥斯达黎加</t>
    <phoneticPr fontId="1"/>
  </si>
  <si>
    <t>韩国</t>
    <phoneticPr fontId="1"/>
  </si>
  <si>
    <r>
      <t>巴拿</t>
    </r>
    <r>
      <rPr>
        <sz val="11"/>
        <color theme="1"/>
        <rFont val="DengXian"/>
        <family val="2"/>
        <charset val="128"/>
        <scheme val="minor"/>
      </rPr>
      <t>马</t>
    </r>
    <phoneticPr fontId="1"/>
  </si>
  <si>
    <t>突尼斯</t>
    <phoneticPr fontId="1"/>
  </si>
  <si>
    <r>
      <t>澳大利</t>
    </r>
    <r>
      <rPr>
        <sz val="11"/>
        <color theme="1"/>
        <rFont val="DengXian"/>
        <family val="2"/>
        <charset val="128"/>
        <scheme val="minor"/>
      </rPr>
      <t>亚</t>
    </r>
    <phoneticPr fontId="1"/>
  </si>
  <si>
    <t>摩洛哥</t>
    <phoneticPr fontId="1"/>
  </si>
  <si>
    <t>F组</t>
    <phoneticPr fontId="1"/>
  </si>
  <si>
    <r>
      <t>G</t>
    </r>
    <r>
      <rPr>
        <sz val="11"/>
        <color theme="1"/>
        <rFont val="DengXian"/>
        <family val="2"/>
        <charset val="128"/>
        <scheme val="minor"/>
      </rPr>
      <t>组</t>
    </r>
    <phoneticPr fontId="1"/>
  </si>
  <si>
    <t>H组</t>
    <phoneticPr fontId="1"/>
  </si>
  <si>
    <t>伊朗</t>
    <phoneticPr fontId="1"/>
  </si>
  <si>
    <t>沙特阿拉伯</t>
    <phoneticPr fontId="1"/>
  </si>
  <si>
    <r>
      <t>秘</t>
    </r>
    <r>
      <rPr>
        <sz val="11"/>
        <color theme="1"/>
        <rFont val="DengXian"/>
        <family val="2"/>
        <charset val="128"/>
        <scheme val="minor"/>
      </rPr>
      <t>鲁</t>
    </r>
    <phoneticPr fontId="1"/>
  </si>
  <si>
    <t>A1</t>
    <phoneticPr fontId="1"/>
  </si>
  <si>
    <t>B2</t>
    <phoneticPr fontId="1"/>
  </si>
  <si>
    <t>C1</t>
    <phoneticPr fontId="1"/>
  </si>
  <si>
    <t>D2</t>
    <phoneticPr fontId="1"/>
  </si>
  <si>
    <t>E1</t>
    <phoneticPr fontId="1"/>
  </si>
  <si>
    <t>F2</t>
    <phoneticPr fontId="1"/>
  </si>
  <si>
    <t>G1</t>
    <phoneticPr fontId="1"/>
  </si>
  <si>
    <t>H2</t>
    <phoneticPr fontId="1"/>
  </si>
  <si>
    <t>B1</t>
    <phoneticPr fontId="1"/>
  </si>
  <si>
    <t>A2</t>
    <phoneticPr fontId="1"/>
  </si>
  <si>
    <t>D1</t>
    <phoneticPr fontId="1"/>
  </si>
  <si>
    <t>C2</t>
    <phoneticPr fontId="1"/>
  </si>
  <si>
    <t>F1</t>
    <phoneticPr fontId="1"/>
  </si>
  <si>
    <t>E2</t>
    <phoneticPr fontId="1"/>
  </si>
  <si>
    <t>H1</t>
    <phoneticPr fontId="1"/>
  </si>
  <si>
    <t>G2</t>
    <phoneticPr fontId="1"/>
  </si>
  <si>
    <t>BEST16</t>
    <phoneticPr fontId="1"/>
  </si>
  <si>
    <t>BEST8</t>
    <phoneticPr fontId="1"/>
  </si>
  <si>
    <t>BEST4</t>
    <phoneticPr fontId="1"/>
  </si>
  <si>
    <t>BEST2</t>
    <phoneticPr fontId="1"/>
  </si>
  <si>
    <t>瑞典</t>
    <phoneticPr fontId="1"/>
  </si>
  <si>
    <t>墨西哥</t>
    <phoneticPr fontId="1"/>
  </si>
  <si>
    <t>韩国</t>
    <phoneticPr fontId="1"/>
  </si>
  <si>
    <t>德国</t>
    <phoneticPr fontId="1"/>
  </si>
  <si>
    <t>巴西</t>
    <phoneticPr fontId="1"/>
  </si>
  <si>
    <t>瑞士</t>
    <phoneticPr fontId="1"/>
  </si>
  <si>
    <t>塞尔维亚</t>
    <phoneticPr fontId="1"/>
  </si>
  <si>
    <t>哥斯达黎加</t>
    <phoneticPr fontId="1"/>
  </si>
  <si>
    <t>埃及</t>
    <phoneticPr fontId="1"/>
  </si>
  <si>
    <t>俄罗斯</t>
    <phoneticPr fontId="1"/>
  </si>
  <si>
    <t>沙特阿拉伯</t>
    <phoneticPr fontId="1"/>
  </si>
  <si>
    <t>乌拉圭</t>
    <phoneticPr fontId="1"/>
  </si>
  <si>
    <t>葡萄牙</t>
    <phoneticPr fontId="1"/>
  </si>
  <si>
    <t>西班牙</t>
    <phoneticPr fontId="1"/>
  </si>
  <si>
    <t>伊朗</t>
    <phoneticPr fontId="1"/>
  </si>
  <si>
    <t>摩洛哥</t>
    <phoneticPr fontId="1"/>
  </si>
  <si>
    <t>法国</t>
    <phoneticPr fontId="1"/>
  </si>
  <si>
    <t>秘鲁</t>
    <phoneticPr fontId="1"/>
  </si>
  <si>
    <t>丹麦</t>
    <phoneticPr fontId="1"/>
  </si>
  <si>
    <t>澳大利亚</t>
    <phoneticPr fontId="1"/>
  </si>
  <si>
    <t>日本</t>
    <phoneticPr fontId="1"/>
  </si>
  <si>
    <t>哥伦比亚</t>
    <phoneticPr fontId="1"/>
  </si>
  <si>
    <t>波兰</t>
    <phoneticPr fontId="1"/>
  </si>
  <si>
    <t>塞内加尔</t>
    <phoneticPr fontId="1"/>
  </si>
  <si>
    <t>突尼斯</t>
    <phoneticPr fontId="1"/>
  </si>
  <si>
    <t>巴拿马</t>
    <phoneticPr fontId="1"/>
  </si>
  <si>
    <t>英格兰</t>
    <phoneticPr fontId="1"/>
  </si>
  <si>
    <t>比利时</t>
    <phoneticPr fontId="1"/>
  </si>
  <si>
    <t>克罗地亚</t>
    <phoneticPr fontId="1"/>
  </si>
  <si>
    <t>尼日利亚</t>
    <phoneticPr fontId="1"/>
  </si>
  <si>
    <t>冰岛</t>
    <phoneticPr fontId="1"/>
  </si>
  <si>
    <t>阿根廷</t>
    <phoneticPr fontId="1"/>
  </si>
  <si>
    <t>理分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</si>
</sst>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DengXian"/>
      <family val="2"/>
      <charset val="128"/>
      <scheme val="minor"/>
    </font>
    <font>
      <sz val="6"/>
      <name val="DengXian"/>
      <family val="2"/>
      <charset val="128"/>
      <scheme val="minor"/>
    </font>
    <font>
      <sz val="11"/>
      <color theme="1"/>
      <name val="DengXian"/>
      <family val="3"/>
      <charset val="134"/>
      <scheme val="minor"/>
    </font>
    <font>
      <sz val="11"/>
      <color theme="1"/>
      <name val="DengXian"/>
      <family val="3"/>
      <charset val="136"/>
      <scheme val="minor"/>
    </font>
    <font>
      <sz val="11"/>
      <color theme="0" tint="-0.14999847407452621"/>
      <name val="DengXian"/>
      <family val="3"/>
      <charset val="134"/>
      <scheme val="minor"/>
    </font>
    <font>
      <sz val="11"/>
      <color theme="0" tint="-0.14999847407452621"/>
      <name val="DengXian"/>
      <family val="3"/>
      <charset val="128"/>
      <scheme val="minor"/>
    </font>
    <font>
      <sz val="11"/>
      <color rgb="FFFF0000"/>
      <name val="DengXian"/>
      <family val="3"/>
      <charset val="134"/>
      <scheme val="minor"/>
    </font>
    <font>
      <sz val="11"/>
      <color theme="0" tint="-0.249977111117893"/>
      <name val="DengXian"/>
      <family val="3"/>
      <charset val="134"/>
      <scheme val="minor"/>
    </font>
    <font>
      <sz val="11"/>
      <color theme="0" tint="-0.249977111117893"/>
      <name val="DengXian"/>
      <family val="2"/>
      <charset val="128"/>
      <scheme val="minor"/>
    </font>
    <font>
      <sz val="11"/>
      <color rgb="FF000000"/>
      <name val="ＭＳ Ｐゴシック"/>
      <family val="2"/>
      <charset val="128"/>
    </font>
    <font>
      <u/>
      <sz val="11"/>
      <color theme="10"/>
      <name val="DengXian"/>
      <family val="2"/>
      <charset val="128"/>
      <scheme val="minor"/>
    </font>
    <font>
      <u/>
      <sz val="11"/>
      <color theme="11"/>
      <name val="DengXian"/>
      <family val="2"/>
      <charset val="128"/>
      <scheme val="minor"/>
    </font>
    <font>
      <sz val="11"/>
      <color rgb="FFD9D9D9"/>
      <name val="DengXian"/>
      <family val="4"/>
      <charset val="134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3">
    <xf numFmtId="0" fontId="0" fillId="0" borderId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</cellStyleXfs>
  <cellXfs count="52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left" vertical="center"/>
    </xf>
    <xf numFmtId="0" fontId="0" fillId="2" borderId="0" xfId="0" applyFill="1">
      <alignment vertical="center"/>
    </xf>
    <xf numFmtId="0" fontId="0" fillId="2" borderId="0" xfId="0" applyFill="1" applyAlignment="1">
      <alignment vertical="center"/>
    </xf>
    <xf numFmtId="0" fontId="2" fillId="3" borderId="3" xfId="0" applyFont="1" applyFill="1" applyBorder="1">
      <alignment vertical="center"/>
    </xf>
    <xf numFmtId="0" fontId="0" fillId="3" borderId="0" xfId="0" applyFill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4" xfId="0" applyBorder="1">
      <alignment vertical="center"/>
    </xf>
    <xf numFmtId="0" fontId="4" fillId="0" borderId="5" xfId="0" applyFont="1" applyFill="1" applyBorder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7" fillId="5" borderId="5" xfId="0" applyFont="1" applyFill="1" applyBorder="1">
      <alignment vertical="center"/>
    </xf>
    <xf numFmtId="0" fontId="0" fillId="0" borderId="6" xfId="0" applyBorder="1">
      <alignment vertical="center"/>
    </xf>
    <xf numFmtId="0" fontId="2" fillId="0" borderId="6" xfId="0" applyFont="1" applyBorder="1">
      <alignment vertical="center"/>
    </xf>
    <xf numFmtId="0" fontId="0" fillId="5" borderId="6" xfId="0" applyFont="1" applyFill="1" applyBorder="1">
      <alignment vertical="center"/>
    </xf>
    <xf numFmtId="0" fontId="2" fillId="5" borderId="6" xfId="0" applyFont="1" applyFill="1" applyBorder="1">
      <alignment vertical="center"/>
    </xf>
    <xf numFmtId="0" fontId="0" fillId="5" borderId="6" xfId="0" applyFill="1" applyBorder="1">
      <alignment vertical="center"/>
    </xf>
    <xf numFmtId="0" fontId="0" fillId="6" borderId="6" xfId="0" applyFill="1" applyBorder="1">
      <alignment vertical="center"/>
    </xf>
    <xf numFmtId="0" fontId="0" fillId="8" borderId="0" xfId="0" applyFont="1" applyFill="1" applyBorder="1">
      <alignment vertical="center"/>
    </xf>
    <xf numFmtId="0" fontId="8" fillId="0" borderId="0" xfId="0" applyFont="1">
      <alignment vertical="center"/>
    </xf>
    <xf numFmtId="0" fontId="0" fillId="8" borderId="0" xfId="0" applyFill="1" applyBorder="1">
      <alignment vertical="center"/>
    </xf>
    <xf numFmtId="0" fontId="2" fillId="8" borderId="0" xfId="0" applyFont="1" applyFill="1">
      <alignment vertical="center"/>
    </xf>
    <xf numFmtId="0" fontId="0" fillId="9" borderId="6" xfId="0" applyFill="1" applyBorder="1">
      <alignment vertical="center"/>
    </xf>
    <xf numFmtId="0" fontId="0" fillId="4" borderId="0" xfId="0" applyFill="1">
      <alignment vertical="center"/>
    </xf>
    <xf numFmtId="0" fontId="0" fillId="7" borderId="2" xfId="0" applyFill="1" applyBorder="1">
      <alignment vertical="center"/>
    </xf>
    <xf numFmtId="0" fontId="0" fillId="0" borderId="0" xfId="0" applyBorder="1">
      <alignment vertical="center"/>
    </xf>
    <xf numFmtId="0" fontId="2" fillId="0" borderId="0" xfId="0" applyFont="1" applyBorder="1">
      <alignment vertical="center"/>
    </xf>
    <xf numFmtId="0" fontId="0" fillId="0" borderId="0" xfId="0" applyFill="1" applyBorder="1">
      <alignment vertical="center"/>
    </xf>
    <xf numFmtId="0" fontId="0" fillId="10" borderId="2" xfId="0" applyFill="1" applyBorder="1">
      <alignment vertical="center"/>
    </xf>
    <xf numFmtId="0" fontId="2" fillId="10" borderId="2" xfId="0" applyFont="1" applyFill="1" applyBorder="1">
      <alignment vertical="center"/>
    </xf>
    <xf numFmtId="0" fontId="3" fillId="10" borderId="2" xfId="0" applyFont="1" applyFill="1" applyBorder="1">
      <alignment vertical="center"/>
    </xf>
    <xf numFmtId="0" fontId="2" fillId="8" borderId="0" xfId="0" applyFont="1" applyFill="1" applyBorder="1">
      <alignment vertical="center"/>
    </xf>
    <xf numFmtId="0" fontId="0" fillId="5" borderId="0" xfId="0" applyFont="1" applyFill="1" applyBorder="1">
      <alignment vertical="center"/>
    </xf>
    <xf numFmtId="0" fontId="0" fillId="5" borderId="0" xfId="0" applyFill="1" applyBorder="1">
      <alignment vertical="center"/>
    </xf>
    <xf numFmtId="0" fontId="0" fillId="14" borderId="0" xfId="0" applyFont="1" applyFill="1" applyBorder="1">
      <alignment vertical="center"/>
    </xf>
    <xf numFmtId="0" fontId="0" fillId="14" borderId="7" xfId="0" applyFont="1" applyFill="1" applyBorder="1">
      <alignment vertical="center"/>
    </xf>
    <xf numFmtId="0" fontId="0" fillId="0" borderId="7" xfId="0" applyBorder="1">
      <alignment vertical="center"/>
    </xf>
    <xf numFmtId="0" fontId="0" fillId="2" borderId="7" xfId="0" applyFill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2" borderId="10" xfId="0" applyFill="1" applyBorder="1">
      <alignment vertical="center"/>
    </xf>
    <xf numFmtId="0" fontId="0" fillId="0" borderId="11" xfId="0" applyBorder="1">
      <alignment vertical="center"/>
    </xf>
    <xf numFmtId="0" fontId="0" fillId="11" borderId="7" xfId="0" applyFill="1" applyBorder="1">
      <alignment vertical="center"/>
    </xf>
    <xf numFmtId="0" fontId="0" fillId="13" borderId="7" xfId="0" applyFill="1" applyBorder="1">
      <alignment vertical="center"/>
    </xf>
    <xf numFmtId="0" fontId="0" fillId="12" borderId="10" xfId="0" applyFill="1" applyBorder="1">
      <alignment vertical="center"/>
    </xf>
    <xf numFmtId="0" fontId="0" fillId="11" borderId="10" xfId="0" applyFill="1" applyBorder="1">
      <alignment vertical="center"/>
    </xf>
    <xf numFmtId="0" fontId="2" fillId="15" borderId="0" xfId="0" applyFont="1" applyFill="1" applyBorder="1">
      <alignment vertical="center"/>
    </xf>
    <xf numFmtId="0" fontId="0" fillId="15" borderId="0" xfId="0" applyFill="1" applyBorder="1">
      <alignment vertical="center"/>
    </xf>
    <xf numFmtId="0" fontId="12" fillId="0" borderId="5" xfId="0" applyFont="1" applyBorder="1">
      <alignment vertical="center"/>
    </xf>
    <xf numFmtId="0" fontId="12" fillId="0" borderId="0" xfId="0" applyFont="1">
      <alignment vertical="center"/>
    </xf>
  </cellXfs>
  <cellStyles count="3">
    <cellStyle name="常规" xfId="0" builtinId="0"/>
    <cellStyle name="超链接" xfId="1" builtinId="8" hidden="1"/>
    <cellStyle name="已访问的超链接" xfId="2" builtinId="9" hidden="1"/>
  </cellStyles>
  <dxfs count="0"/>
  <tableStyles count="0" defaultTableStyle="TableStyleMedium9" defaultPivotStyle="PivotStyleLight16"/>
  <colors>
    <mruColors>
      <color rgb="FF000099"/>
      <color rgb="FFF2C97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431800</xdr:colOff>
          <xdr:row>4</xdr:row>
          <xdr:rowOff>139700</xdr:rowOff>
        </xdr:from>
        <xdr:to>
          <xdr:col>15</xdr:col>
          <xdr:colOff>863600</xdr:colOff>
          <xdr:row>9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  <a:cs typeface="ＭＳ Ｐゴシック"/>
                </a:rPr>
                <a:t>RANKING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431800</xdr:colOff>
          <xdr:row>4</xdr:row>
          <xdr:rowOff>139700</xdr:rowOff>
        </xdr:from>
        <xdr:to>
          <xdr:col>15</xdr:col>
          <xdr:colOff>863600</xdr:colOff>
          <xdr:row>9</xdr:row>
          <xdr:rowOff>50800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  <a:cs typeface="ＭＳ Ｐゴシック"/>
                </a:rPr>
                <a:t>RANKING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431800</xdr:colOff>
          <xdr:row>4</xdr:row>
          <xdr:rowOff>139700</xdr:rowOff>
        </xdr:from>
        <xdr:to>
          <xdr:col>15</xdr:col>
          <xdr:colOff>863600</xdr:colOff>
          <xdr:row>9</xdr:row>
          <xdr:rowOff>50800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  <a:cs typeface="ＭＳ Ｐゴシック"/>
                </a:rPr>
                <a:t>RANKING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431800</xdr:colOff>
          <xdr:row>4</xdr:row>
          <xdr:rowOff>139700</xdr:rowOff>
        </xdr:from>
        <xdr:to>
          <xdr:col>15</xdr:col>
          <xdr:colOff>863600</xdr:colOff>
          <xdr:row>9</xdr:row>
          <xdr:rowOff>50800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  <a:cs typeface="ＭＳ Ｐゴシック"/>
                </a:rPr>
                <a:t>RANKING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431800</xdr:colOff>
          <xdr:row>4</xdr:row>
          <xdr:rowOff>139700</xdr:rowOff>
        </xdr:from>
        <xdr:to>
          <xdr:col>15</xdr:col>
          <xdr:colOff>863600</xdr:colOff>
          <xdr:row>9</xdr:row>
          <xdr:rowOff>50800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  <a:cs typeface="ＭＳ Ｐゴシック"/>
                </a:rPr>
                <a:t>RANKING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431800</xdr:colOff>
          <xdr:row>4</xdr:row>
          <xdr:rowOff>139700</xdr:rowOff>
        </xdr:from>
        <xdr:to>
          <xdr:col>15</xdr:col>
          <xdr:colOff>863600</xdr:colOff>
          <xdr:row>9</xdr:row>
          <xdr:rowOff>50800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  <a:cs typeface="ＭＳ Ｐゴシック"/>
                </a:rPr>
                <a:t>RANKING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431800</xdr:colOff>
          <xdr:row>4</xdr:row>
          <xdr:rowOff>139700</xdr:rowOff>
        </xdr:from>
        <xdr:to>
          <xdr:col>15</xdr:col>
          <xdr:colOff>863600</xdr:colOff>
          <xdr:row>9</xdr:row>
          <xdr:rowOff>50800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  <a:cs typeface="ＭＳ Ｐゴシック"/>
                </a:rPr>
                <a:t>RANKING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431800</xdr:colOff>
          <xdr:row>4</xdr:row>
          <xdr:rowOff>139700</xdr:rowOff>
        </xdr:from>
        <xdr:to>
          <xdr:col>15</xdr:col>
          <xdr:colOff>863600</xdr:colOff>
          <xdr:row>9</xdr:row>
          <xdr:rowOff>50800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  <a:cs typeface="ＭＳ Ｐゴシック"/>
                </a:rPr>
                <a:t>RANKING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DengXian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DengXian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4" Type="http://schemas.openxmlformats.org/officeDocument/2006/relationships/ctrlProp" Target="../ctrlProps/ctrlProp2.xml"/><Relationship Id="rId1" Type="http://schemas.openxmlformats.org/officeDocument/2006/relationships/printerSettings" Target="../printerSettings/printerSettings3.bin"/><Relationship Id="rId2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4" Type="http://schemas.openxmlformats.org/officeDocument/2006/relationships/ctrlProp" Target="../ctrlProps/ctrlProp3.xml"/><Relationship Id="rId1" Type="http://schemas.openxmlformats.org/officeDocument/2006/relationships/printerSettings" Target="../printerSettings/printerSettings4.bin"/><Relationship Id="rId2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4" Type="http://schemas.openxmlformats.org/officeDocument/2006/relationships/ctrlProp" Target="../ctrlProps/ctrlProp4.xml"/><Relationship Id="rId1" Type="http://schemas.openxmlformats.org/officeDocument/2006/relationships/printerSettings" Target="../printerSettings/printerSettings5.bin"/><Relationship Id="rId2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4" Type="http://schemas.openxmlformats.org/officeDocument/2006/relationships/ctrlProp" Target="../ctrlProps/ctrlProp5.xml"/><Relationship Id="rId1" Type="http://schemas.openxmlformats.org/officeDocument/2006/relationships/printerSettings" Target="../printerSettings/printerSettings6.bin"/><Relationship Id="rId2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4" Type="http://schemas.openxmlformats.org/officeDocument/2006/relationships/ctrlProp" Target="../ctrlProps/ctrlProp6.xml"/><Relationship Id="rId1" Type="http://schemas.openxmlformats.org/officeDocument/2006/relationships/printerSettings" Target="../printerSettings/printerSettings7.bin"/><Relationship Id="rId2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4" Type="http://schemas.openxmlformats.org/officeDocument/2006/relationships/ctrlProp" Target="../ctrlProps/ctrlProp7.xml"/><Relationship Id="rId1" Type="http://schemas.openxmlformats.org/officeDocument/2006/relationships/printerSettings" Target="../printerSettings/printerSettings8.bin"/><Relationship Id="rId2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4" Type="http://schemas.openxmlformats.org/officeDocument/2006/relationships/ctrlProp" Target="../ctrlProps/ctrlProp8.xml"/><Relationship Id="rId1" Type="http://schemas.openxmlformats.org/officeDocument/2006/relationships/printerSettings" Target="../printerSettings/printerSettings9.bin"/><Relationship Id="rId2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M22"/>
  <sheetViews>
    <sheetView workbookViewId="0">
      <selection activeCell="L1" sqref="L1:L5"/>
    </sheetView>
  </sheetViews>
  <sheetFormatPr baseColWidth="10" defaultColWidth="8.83203125" defaultRowHeight="15" x14ac:dyDescent="0.2"/>
  <cols>
    <col min="1" max="1" width="7.1640625" bestFit="1" customWidth="1"/>
    <col min="2" max="2" width="13" bestFit="1" customWidth="1"/>
    <col min="3" max="6" width="3.33203125" bestFit="1" customWidth="1"/>
    <col min="7" max="8" width="3.5" bestFit="1" customWidth="1"/>
    <col min="9" max="9" width="4.6640625" customWidth="1"/>
    <col min="10" max="10" width="5.1640625" bestFit="1" customWidth="1"/>
    <col min="11" max="11" width="6.1640625" style="12" customWidth="1"/>
    <col min="12" max="12" width="4.6640625" customWidth="1"/>
    <col min="13" max="13" width="7.1640625" bestFit="1" customWidth="1"/>
  </cols>
  <sheetData>
    <row r="1" spans="1:13" x14ac:dyDescent="0.2">
      <c r="A1" s="30" t="s">
        <v>1</v>
      </c>
      <c r="B1" s="31" t="s">
        <v>0</v>
      </c>
      <c r="C1" s="31" t="s">
        <v>19</v>
      </c>
      <c r="D1" s="32" t="s">
        <v>12</v>
      </c>
      <c r="E1" s="31" t="s">
        <v>13</v>
      </c>
      <c r="F1" s="31" t="s">
        <v>14</v>
      </c>
      <c r="G1" s="31" t="s">
        <v>17</v>
      </c>
      <c r="H1" s="31" t="s">
        <v>15</v>
      </c>
      <c r="I1" s="31" t="s">
        <v>16</v>
      </c>
      <c r="J1" s="31" t="s">
        <v>18</v>
      </c>
      <c r="K1" s="13">
        <v>0</v>
      </c>
      <c r="L1" s="10" t="s">
        <v>29</v>
      </c>
      <c r="M1" s="11"/>
    </row>
    <row r="2" spans="1:13" x14ac:dyDescent="0.2">
      <c r="A2" s="3">
        <v>1</v>
      </c>
      <c r="B2" s="2" t="s">
        <v>149</v>
      </c>
      <c r="C2" s="2">
        <v>3</v>
      </c>
      <c r="D2" s="2">
        <v>3</v>
      </c>
      <c r="E2" s="2">
        <v>0</v>
      </c>
      <c r="F2" s="2">
        <v>0</v>
      </c>
      <c r="G2" s="2">
        <v>10</v>
      </c>
      <c r="H2" s="2">
        <v>0</v>
      </c>
      <c r="I2" s="2">
        <v>10</v>
      </c>
      <c r="J2" s="9">
        <v>9</v>
      </c>
      <c r="K2" s="12" t="str">
        <f t="shared" ref="K2:K4" si="0">IF(COUNTIF(L$2:L$15,"&lt;"&amp;$J2)=COUNTA(A$2:A$15)-1,"锁一",
 IF(COUNTIF(L$2:L$15,"&lt;"&amp;$J2)=COUNTA(A$2:A$15)-2,"锁二",
 IF(COUNTIF(L$2:L$15,"&lt;"&amp;$J2)=COUNTA(A$2:A$15)-3,"锁三",IF(COUNTIF(J$2:J$15,"&gt;"&amp;$L2)&gt;=COUNTA(A$2:A$15)-$K$1,"降决",""))))</f>
        <v>锁一</v>
      </c>
      <c r="L2" s="11">
        <f>((COUNTA(A$2:A$15)-1)-C2)*3+J2</f>
        <v>9</v>
      </c>
      <c r="M2" s="11"/>
    </row>
    <row r="3" spans="1:13" x14ac:dyDescent="0.2">
      <c r="A3" s="3">
        <v>2</v>
      </c>
      <c r="B3" s="2" t="s">
        <v>150</v>
      </c>
      <c r="C3" s="2">
        <v>2</v>
      </c>
      <c r="D3" s="2">
        <v>1</v>
      </c>
      <c r="E3" s="2">
        <v>0</v>
      </c>
      <c r="F3" s="2">
        <v>1</v>
      </c>
      <c r="G3" s="2">
        <v>1</v>
      </c>
      <c r="H3" s="2">
        <v>1</v>
      </c>
      <c r="I3" s="2">
        <v>0</v>
      </c>
      <c r="J3" s="2">
        <v>3</v>
      </c>
      <c r="K3" s="12" t="str">
        <f t="shared" si="0"/>
        <v/>
      </c>
      <c r="L3" s="11">
        <f t="shared" ref="L3:L5" si="1">((COUNTA(A$2:A$15)-1)-C3)*3+J3</f>
        <v>6</v>
      </c>
      <c r="M3" s="11"/>
    </row>
    <row r="4" spans="1:13" x14ac:dyDescent="0.2">
      <c r="A4" s="3">
        <v>3</v>
      </c>
      <c r="B4" s="2" t="s">
        <v>151</v>
      </c>
      <c r="C4" s="2">
        <v>1</v>
      </c>
      <c r="D4" s="2">
        <v>0</v>
      </c>
      <c r="E4" s="2">
        <v>0</v>
      </c>
      <c r="F4" s="2">
        <v>1</v>
      </c>
      <c r="G4" s="2">
        <v>0</v>
      </c>
      <c r="H4" s="2">
        <v>2</v>
      </c>
      <c r="I4" s="2">
        <v>-2</v>
      </c>
      <c r="J4" s="2">
        <v>0</v>
      </c>
      <c r="K4" s="12" t="str">
        <f t="shared" si="0"/>
        <v/>
      </c>
      <c r="L4" s="11">
        <f t="shared" si="1"/>
        <v>6</v>
      </c>
      <c r="M4" s="11"/>
    </row>
    <row r="5" spans="1:13" x14ac:dyDescent="0.2">
      <c r="A5" s="3">
        <v>4</v>
      </c>
      <c r="B5" s="2" t="s">
        <v>152</v>
      </c>
      <c r="C5" s="2">
        <v>2</v>
      </c>
      <c r="D5" s="2">
        <v>0</v>
      </c>
      <c r="E5" s="2">
        <v>0</v>
      </c>
      <c r="F5" s="2">
        <v>2</v>
      </c>
      <c r="G5" s="2">
        <v>0</v>
      </c>
      <c r="H5" s="2">
        <v>8</v>
      </c>
      <c r="I5" s="2">
        <v>-8</v>
      </c>
      <c r="J5" s="2">
        <v>0</v>
      </c>
      <c r="K5" s="12" t="str">
        <f>IF(COUNTIF(L$2:L$15,"&lt;"&amp;$J5)=COUNTA(A$2:A$15)-1,"锁一",
 IF(COUNTIF(L$2:L$15,"&lt;"&amp;$J5)=COUNTA(A$2:A$15)-2,"锁二",
 IF(COUNTIF(L$2:L$15,"&lt;"&amp;$J5)=COUNTA(A$2:A$15)-3,"锁三",IF(COUNTIF(J$2:J$15,"&gt;"&amp;$L5)&gt;=COUNTA(A$2:A$15)-$K$1,"降决",""))))</f>
        <v/>
      </c>
      <c r="L5" s="11">
        <f t="shared" si="1"/>
        <v>3</v>
      </c>
      <c r="M5" s="11"/>
    </row>
    <row r="6" spans="1:13" x14ac:dyDescent="0.2">
      <c r="L6" s="11"/>
      <c r="M6" s="11"/>
    </row>
    <row r="7" spans="1:13" x14ac:dyDescent="0.2">
      <c r="L7" s="11"/>
      <c r="M7" s="11"/>
    </row>
    <row r="8" spans="1:13" x14ac:dyDescent="0.2">
      <c r="L8" s="11"/>
      <c r="M8" s="11"/>
    </row>
    <row r="12" spans="1:13" x14ac:dyDescent="0.2">
      <c r="A12" s="8"/>
      <c r="C12" s="8"/>
      <c r="E12" s="8"/>
      <c r="G12" s="8"/>
      <c r="I12" s="8"/>
    </row>
    <row r="20" spans="1:3" x14ac:dyDescent="0.2">
      <c r="A20" s="6" t="s">
        <v>3</v>
      </c>
      <c r="B20">
        <v>0</v>
      </c>
      <c r="C20" s="1" t="s">
        <v>6</v>
      </c>
    </row>
    <row r="21" spans="1:3" x14ac:dyDescent="0.2">
      <c r="A21" s="7" t="s">
        <v>4</v>
      </c>
      <c r="B21">
        <v>4</v>
      </c>
      <c r="C21" t="s">
        <v>7</v>
      </c>
    </row>
    <row r="22" spans="1:3" x14ac:dyDescent="0.2">
      <c r="A22" s="7" t="s">
        <v>5</v>
      </c>
      <c r="B22">
        <v>1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anking">
                <anchor moveWithCells="1" sizeWithCells="1">
                  <from>
                    <xdr:col>13</xdr:col>
                    <xdr:colOff>431800</xdr:colOff>
                    <xdr:row>4</xdr:row>
                    <xdr:rowOff>139700</xdr:rowOff>
                  </from>
                  <to>
                    <xdr:col>15</xdr:col>
                    <xdr:colOff>863600</xdr:colOff>
                    <xdr:row>9</xdr:row>
                    <xdr:rowOff>50800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K128"/>
  <sheetViews>
    <sheetView tabSelected="1" topLeftCell="A100" workbookViewId="0">
      <selection activeCell="C106" sqref="C106"/>
    </sheetView>
  </sheetViews>
  <sheetFormatPr baseColWidth="10" defaultColWidth="8.83203125" defaultRowHeight="15" x14ac:dyDescent="0.2"/>
  <cols>
    <col min="1" max="1" width="6.1640625" bestFit="1" customWidth="1"/>
    <col min="2" max="8" width="9.83203125" customWidth="1"/>
  </cols>
  <sheetData>
    <row r="1" spans="1:11" x14ac:dyDescent="0.2">
      <c r="B1" s="26" t="s">
        <v>34</v>
      </c>
      <c r="C1" s="26" t="s">
        <v>35</v>
      </c>
      <c r="D1" s="26" t="s">
        <v>36</v>
      </c>
      <c r="E1" s="26" t="s">
        <v>37</v>
      </c>
      <c r="F1" s="26" t="s">
        <v>38</v>
      </c>
      <c r="G1" s="26" t="s">
        <v>39</v>
      </c>
      <c r="H1" s="26" t="s">
        <v>40</v>
      </c>
      <c r="I1" s="26" t="s">
        <v>41</v>
      </c>
    </row>
    <row r="2" spans="1:11" x14ac:dyDescent="0.2">
      <c r="A2" s="28" t="s">
        <v>24</v>
      </c>
      <c r="B2" s="14"/>
      <c r="C2" s="14" t="s">
        <v>44</v>
      </c>
      <c r="D2" s="14"/>
      <c r="E2" s="14" t="s">
        <v>49</v>
      </c>
      <c r="F2" s="14" t="s">
        <v>53</v>
      </c>
      <c r="G2" s="14"/>
      <c r="H2" s="14" t="s">
        <v>112</v>
      </c>
      <c r="I2" s="14"/>
    </row>
    <row r="3" spans="1:11" x14ac:dyDescent="0.2">
      <c r="A3" s="29" t="s">
        <v>31</v>
      </c>
      <c r="B3" s="14" t="s">
        <v>119</v>
      </c>
      <c r="C3" s="14"/>
      <c r="D3" s="14"/>
      <c r="E3" s="14" t="s">
        <v>48</v>
      </c>
      <c r="F3" s="14"/>
      <c r="G3" s="14" t="s">
        <v>61</v>
      </c>
      <c r="H3" s="14" t="s">
        <v>56</v>
      </c>
      <c r="I3" s="14"/>
      <c r="K3" s="27"/>
    </row>
    <row r="4" spans="1:11" x14ac:dyDescent="0.2">
      <c r="A4" s="28" t="s">
        <v>52</v>
      </c>
      <c r="B4" s="14"/>
      <c r="C4" s="14"/>
      <c r="D4" s="14"/>
      <c r="E4" s="14" t="s">
        <v>108</v>
      </c>
      <c r="F4" s="14" t="s">
        <v>51</v>
      </c>
      <c r="G4" s="14"/>
      <c r="H4" s="14" t="s">
        <v>57</v>
      </c>
      <c r="I4" s="14" t="s">
        <v>59</v>
      </c>
      <c r="K4" s="28"/>
    </row>
    <row r="5" spans="1:11" x14ac:dyDescent="0.2">
      <c r="A5" s="29" t="s">
        <v>21</v>
      </c>
      <c r="B5" s="14" t="s">
        <v>42</v>
      </c>
      <c r="C5" s="14"/>
      <c r="D5" s="14" t="s">
        <v>60</v>
      </c>
      <c r="E5" s="14" t="s">
        <v>47</v>
      </c>
      <c r="F5" s="14"/>
      <c r="G5" s="14"/>
      <c r="H5" s="14" t="s">
        <v>111</v>
      </c>
      <c r="I5" s="14"/>
      <c r="K5" s="29"/>
    </row>
    <row r="6" spans="1:11" x14ac:dyDescent="0.2">
      <c r="A6" s="28" t="s">
        <v>22</v>
      </c>
      <c r="B6" s="14"/>
      <c r="C6" s="14"/>
      <c r="D6" s="14" t="s">
        <v>46</v>
      </c>
      <c r="E6" s="14"/>
      <c r="F6" s="14"/>
      <c r="G6" s="14"/>
      <c r="H6" s="14"/>
      <c r="I6" s="15" t="s">
        <v>106</v>
      </c>
      <c r="K6" s="28"/>
    </row>
    <row r="7" spans="1:11" x14ac:dyDescent="0.2">
      <c r="A7" s="28" t="s">
        <v>32</v>
      </c>
      <c r="B7" s="14" t="s">
        <v>107</v>
      </c>
      <c r="C7" s="14" t="s">
        <v>45</v>
      </c>
      <c r="D7" s="14"/>
      <c r="E7" s="14"/>
      <c r="F7" s="14" t="s">
        <v>50</v>
      </c>
      <c r="G7" s="14" t="s">
        <v>54</v>
      </c>
      <c r="H7" s="14"/>
      <c r="I7" s="14"/>
      <c r="K7" s="29"/>
    </row>
    <row r="8" spans="1:11" x14ac:dyDescent="0.2">
      <c r="A8" s="27" t="s">
        <v>33</v>
      </c>
      <c r="B8" s="14"/>
      <c r="C8" s="15"/>
      <c r="D8" s="14"/>
      <c r="E8" s="14"/>
      <c r="F8" s="14"/>
      <c r="G8" s="14"/>
      <c r="H8" s="14"/>
      <c r="I8" s="14"/>
      <c r="K8" s="28"/>
    </row>
    <row r="9" spans="1:11" x14ac:dyDescent="0.2">
      <c r="A9" s="27" t="s">
        <v>23</v>
      </c>
      <c r="B9" s="15" t="s">
        <v>43</v>
      </c>
      <c r="C9" s="14"/>
      <c r="D9" s="14"/>
      <c r="E9" s="14"/>
      <c r="F9" s="14"/>
      <c r="G9" s="14" t="s">
        <v>55</v>
      </c>
      <c r="H9" s="14"/>
      <c r="I9" s="14" t="s">
        <v>58</v>
      </c>
      <c r="K9" s="28"/>
    </row>
    <row r="10" spans="1:11" x14ac:dyDescent="0.2">
      <c r="A10" s="48" t="s">
        <v>22</v>
      </c>
      <c r="B10" s="14"/>
      <c r="C10" s="14" t="s">
        <v>118</v>
      </c>
      <c r="D10" s="14"/>
      <c r="E10" s="14"/>
      <c r="F10" s="14" t="s">
        <v>109</v>
      </c>
      <c r="G10" s="14"/>
      <c r="H10" s="14"/>
      <c r="I10" s="15" t="s">
        <v>100</v>
      </c>
      <c r="K10" s="28"/>
    </row>
    <row r="11" spans="1:11" x14ac:dyDescent="0.2">
      <c r="A11" s="49" t="s">
        <v>23</v>
      </c>
      <c r="B11" s="15"/>
      <c r="C11" s="14"/>
      <c r="D11" s="14" t="s">
        <v>113</v>
      </c>
      <c r="E11" s="14"/>
      <c r="F11" s="14"/>
      <c r="G11" s="15" t="s">
        <v>110</v>
      </c>
      <c r="H11" s="14"/>
      <c r="I11" s="14"/>
      <c r="K11" s="28"/>
    </row>
    <row r="12" spans="1:11" x14ac:dyDescent="0.2">
      <c r="A12" s="48" t="s">
        <v>32</v>
      </c>
      <c r="B12" s="14"/>
      <c r="C12" s="14" t="s">
        <v>114</v>
      </c>
      <c r="D12" s="14"/>
      <c r="E12" s="14"/>
      <c r="F12" s="14"/>
      <c r="G12" s="14"/>
      <c r="H12" s="14"/>
      <c r="I12" s="14"/>
      <c r="K12" s="29"/>
    </row>
    <row r="13" spans="1:11" x14ac:dyDescent="0.2">
      <c r="A13" s="49" t="s">
        <v>21</v>
      </c>
      <c r="B13" s="14"/>
      <c r="C13" s="14"/>
      <c r="D13" s="14" t="s">
        <v>120</v>
      </c>
      <c r="E13" s="14"/>
      <c r="F13" s="14"/>
      <c r="G13" s="14"/>
      <c r="H13" s="14"/>
      <c r="I13" s="14"/>
      <c r="K13" s="29"/>
    </row>
    <row r="14" spans="1:11" x14ac:dyDescent="0.2">
      <c r="A14" s="28"/>
      <c r="B14" s="27"/>
      <c r="C14" s="27"/>
      <c r="D14" s="27"/>
      <c r="E14" s="27"/>
      <c r="F14" s="27"/>
      <c r="G14" s="27"/>
      <c r="H14" s="27"/>
      <c r="I14" s="27"/>
      <c r="K14" s="29"/>
    </row>
    <row r="15" spans="1:11" x14ac:dyDescent="0.2">
      <c r="B15">
        <f t="shared" ref="B15:G15" ca="1" si="0">SUM(B17:B23)</f>
        <v>3</v>
      </c>
      <c r="C15">
        <f t="shared" ca="1" si="0"/>
        <v>7</v>
      </c>
      <c r="D15">
        <f t="shared" ca="1" si="0"/>
        <v>9</v>
      </c>
      <c r="E15">
        <f t="shared" ca="1" si="0"/>
        <v>9</v>
      </c>
      <c r="F15">
        <f t="shared" ca="1" si="0"/>
        <v>9</v>
      </c>
      <c r="G15">
        <f t="shared" ca="1" si="0"/>
        <v>1</v>
      </c>
      <c r="H15">
        <f ca="1">SUM(H17:H23)</f>
        <v>8</v>
      </c>
    </row>
    <row r="16" spans="1:11" x14ac:dyDescent="0.2">
      <c r="A16" s="25" t="str">
        <f ca="1">"残比"&amp;SUM(B17:H23)/2</f>
        <v>残比23</v>
      </c>
      <c r="B16" s="18" t="s">
        <v>24</v>
      </c>
      <c r="C16" s="18" t="s">
        <v>20</v>
      </c>
      <c r="D16" s="18" t="s">
        <v>105</v>
      </c>
      <c r="E16" s="18" t="s">
        <v>25</v>
      </c>
      <c r="F16" s="18" t="s">
        <v>22</v>
      </c>
      <c r="G16" s="18" t="s">
        <v>32</v>
      </c>
      <c r="H16" s="18" t="s">
        <v>23</v>
      </c>
    </row>
    <row r="17" spans="1:8" x14ac:dyDescent="0.2">
      <c r="A17" s="16" t="s">
        <v>24</v>
      </c>
      <c r="B17" s="24"/>
      <c r="C17" s="14">
        <f ca="1">C27+C37+C47+C57+C67+C77+C87+C97</f>
        <v>0</v>
      </c>
      <c r="D17" s="14">
        <f t="shared" ref="D17:H18" ca="1" si="1">D27+D37+D47+D57+D67+D77+D87+D97</f>
        <v>2</v>
      </c>
      <c r="E17" s="14">
        <f t="shared" ca="1" si="1"/>
        <v>0</v>
      </c>
      <c r="F17" s="14">
        <f t="shared" ca="1" si="1"/>
        <v>1</v>
      </c>
      <c r="G17" s="14">
        <f t="shared" ca="1" si="1"/>
        <v>0</v>
      </c>
      <c r="H17" s="14">
        <f t="shared" ca="1" si="1"/>
        <v>0</v>
      </c>
    </row>
    <row r="18" spans="1:8" x14ac:dyDescent="0.2">
      <c r="A18" s="17" t="s">
        <v>20</v>
      </c>
      <c r="B18" s="14">
        <f ca="1">B28+B38+B48+B58+B68+B78+B88+B98</f>
        <v>0</v>
      </c>
      <c r="C18" s="24"/>
      <c r="D18" s="14">
        <f t="shared" ca="1" si="1"/>
        <v>1</v>
      </c>
      <c r="E18" s="14">
        <f t="shared" ca="1" si="1"/>
        <v>3</v>
      </c>
      <c r="F18" s="14">
        <f t="shared" ca="1" si="1"/>
        <v>0</v>
      </c>
      <c r="G18" s="14">
        <f t="shared" ca="1" si="1"/>
        <v>0</v>
      </c>
      <c r="H18" s="14">
        <f t="shared" ca="1" si="1"/>
        <v>3</v>
      </c>
    </row>
    <row r="19" spans="1:8" x14ac:dyDescent="0.2">
      <c r="A19" s="18" t="s">
        <v>105</v>
      </c>
      <c r="B19" s="14">
        <f t="shared" ref="B19:F23" ca="1" si="2">B29+B39+B49+B59+B69+B79+B89+B99</f>
        <v>2</v>
      </c>
      <c r="C19" s="14">
        <f t="shared" ca="1" si="2"/>
        <v>1</v>
      </c>
      <c r="D19" s="24"/>
      <c r="E19" s="14">
        <f t="shared" ref="E19:H19" ca="1" si="3">E29+E39+E49+E59+E69+E79+E89+E99</f>
        <v>2</v>
      </c>
      <c r="F19" s="14">
        <f t="shared" ca="1" si="3"/>
        <v>3</v>
      </c>
      <c r="G19" s="14">
        <f t="shared" ca="1" si="3"/>
        <v>0</v>
      </c>
      <c r="H19" s="14">
        <f t="shared" ca="1" si="3"/>
        <v>1</v>
      </c>
    </row>
    <row r="20" spans="1:8" x14ac:dyDescent="0.2">
      <c r="A20" s="16" t="s">
        <v>25</v>
      </c>
      <c r="B20" s="14">
        <f t="shared" ca="1" si="2"/>
        <v>0</v>
      </c>
      <c r="C20" s="14">
        <f t="shared" ca="1" si="2"/>
        <v>3</v>
      </c>
      <c r="D20" s="14">
        <f t="shared" ca="1" si="2"/>
        <v>2</v>
      </c>
      <c r="E20" s="24"/>
      <c r="F20" s="14">
        <f t="shared" ref="F20:H20" ca="1" si="4">F30+F40+F50+F60+F70+F80+F90+F100</f>
        <v>2</v>
      </c>
      <c r="G20" s="14">
        <f t="shared" ca="1" si="4"/>
        <v>0</v>
      </c>
      <c r="H20" s="14">
        <f t="shared" ca="1" si="4"/>
        <v>2</v>
      </c>
    </row>
    <row r="21" spans="1:8" x14ac:dyDescent="0.2">
      <c r="A21" s="17" t="s">
        <v>22</v>
      </c>
      <c r="B21" s="14">
        <f t="shared" ca="1" si="2"/>
        <v>1</v>
      </c>
      <c r="C21" s="14">
        <f t="shared" ca="1" si="2"/>
        <v>0</v>
      </c>
      <c r="D21" s="14">
        <f t="shared" ca="1" si="2"/>
        <v>3</v>
      </c>
      <c r="E21" s="14">
        <f t="shared" ca="1" si="2"/>
        <v>2</v>
      </c>
      <c r="F21" s="24"/>
      <c r="G21" s="14">
        <f t="shared" ref="G21:H21" ca="1" si="5">G31+G41+G51+G61+G71+G81+G91+G101</f>
        <v>1</v>
      </c>
      <c r="H21" s="14">
        <f t="shared" ca="1" si="5"/>
        <v>2</v>
      </c>
    </row>
    <row r="22" spans="1:8" x14ac:dyDescent="0.2">
      <c r="A22" s="16" t="s">
        <v>32</v>
      </c>
      <c r="B22" s="14">
        <f t="shared" ca="1" si="2"/>
        <v>0</v>
      </c>
      <c r="C22" s="14">
        <f t="shared" ca="1" si="2"/>
        <v>0</v>
      </c>
      <c r="D22" s="14">
        <f t="shared" ca="1" si="2"/>
        <v>0</v>
      </c>
      <c r="E22" s="14">
        <f t="shared" ca="1" si="2"/>
        <v>0</v>
      </c>
      <c r="F22" s="14">
        <f t="shared" ca="1" si="2"/>
        <v>1</v>
      </c>
      <c r="G22" s="24"/>
      <c r="H22" s="14">
        <f t="shared" ref="H22" ca="1" si="6">H32+H42+H52+H62+H72+H82+H92+H102</f>
        <v>0</v>
      </c>
    </row>
    <row r="23" spans="1:8" x14ac:dyDescent="0.2">
      <c r="A23" s="16" t="s">
        <v>23</v>
      </c>
      <c r="B23" s="14">
        <f t="shared" ca="1" si="2"/>
        <v>0</v>
      </c>
      <c r="C23" s="14">
        <f t="shared" ca="1" si="2"/>
        <v>3</v>
      </c>
      <c r="D23" s="14">
        <f t="shared" ca="1" si="2"/>
        <v>1</v>
      </c>
      <c r="E23" s="14">
        <f t="shared" ca="1" si="2"/>
        <v>2</v>
      </c>
      <c r="F23" s="14">
        <f t="shared" ca="1" si="2"/>
        <v>2</v>
      </c>
      <c r="G23" s="14">
        <f ca="1">G33+G43+G53+G63+G73+G83+G93+G103</f>
        <v>0</v>
      </c>
      <c r="H23" s="24"/>
    </row>
    <row r="26" spans="1:8" x14ac:dyDescent="0.2">
      <c r="A26" s="22" t="s">
        <v>34</v>
      </c>
      <c r="B26" s="18" t="s">
        <v>24</v>
      </c>
      <c r="C26" s="18" t="s">
        <v>20</v>
      </c>
      <c r="D26" s="18" t="s">
        <v>105</v>
      </c>
      <c r="E26" s="18" t="s">
        <v>25</v>
      </c>
      <c r="F26" s="18" t="s">
        <v>22</v>
      </c>
      <c r="G26" s="18" t="s">
        <v>32</v>
      </c>
      <c r="H26" s="18" t="s">
        <v>23</v>
      </c>
    </row>
    <row r="27" spans="1:8" x14ac:dyDescent="0.2">
      <c r="A27" s="16" t="s">
        <v>24</v>
      </c>
      <c r="B27" s="19"/>
      <c r="C27" s="14">
        <f ca="1">COUNTIF(INDIRECT($A$26&amp;"!$H:$H"),$A27&amp;C$26)+COUNTIF(INDIRECT($A$26&amp;"!$H:$H"),C$26&amp;$A27)</f>
        <v>0</v>
      </c>
      <c r="D27" s="14">
        <f t="shared" ref="D27:H31" ca="1" si="7">COUNTIF(INDIRECT($A$26&amp;"!$H:$H"),$A27&amp;D$26)+COUNTIF(INDIRECT($A$26&amp;"!$H:$H"),D$26&amp;$A27)</f>
        <v>0</v>
      </c>
      <c r="E27" s="14">
        <f t="shared" ca="1" si="7"/>
        <v>0</v>
      </c>
      <c r="F27" s="14">
        <f t="shared" ca="1" si="7"/>
        <v>0</v>
      </c>
      <c r="G27" s="14">
        <f t="shared" ca="1" si="7"/>
        <v>0</v>
      </c>
      <c r="H27" s="14">
        <f t="shared" ca="1" si="7"/>
        <v>0</v>
      </c>
    </row>
    <row r="28" spans="1:8" x14ac:dyDescent="0.2">
      <c r="A28" s="17" t="s">
        <v>20</v>
      </c>
      <c r="B28" s="14">
        <f ca="1">COUNTIF(INDIRECT($A$26&amp;"!$H:$H"),$A28&amp;B$26)+COUNTIF(INDIRECT($A$26&amp;"!$H:$H"),B$26&amp;$A28)</f>
        <v>0</v>
      </c>
      <c r="C28" s="19"/>
      <c r="D28" s="14">
        <f t="shared" ca="1" si="7"/>
        <v>0</v>
      </c>
      <c r="E28" s="14">
        <f t="shared" ca="1" si="7"/>
        <v>1</v>
      </c>
      <c r="F28" s="14">
        <f t="shared" ca="1" si="7"/>
        <v>0</v>
      </c>
      <c r="G28" s="14">
        <f t="shared" ca="1" si="7"/>
        <v>0</v>
      </c>
      <c r="H28" s="14">
        <f t="shared" ca="1" si="7"/>
        <v>1</v>
      </c>
    </row>
    <row r="29" spans="1:8" x14ac:dyDescent="0.2">
      <c r="A29" s="18" t="s">
        <v>105</v>
      </c>
      <c r="B29" s="14">
        <f t="shared" ref="B29:E33" ca="1" si="8">COUNTIF(INDIRECT($A$26&amp;"!$H:$H"),$A29&amp;B$26)+COUNTIF(INDIRECT($A$26&amp;"!$H:$H"),B$26&amp;$A29)</f>
        <v>0</v>
      </c>
      <c r="C29" s="14">
        <f ca="1">COUNTIF(INDIRECT($A$26&amp;"!$H:$H"),$A29&amp;C$26)+COUNTIF(INDIRECT($A$26&amp;"!$H:$H"),C$26&amp;$A29)</f>
        <v>0</v>
      </c>
      <c r="D29" s="19"/>
      <c r="E29" s="14">
        <f t="shared" ca="1" si="7"/>
        <v>0</v>
      </c>
      <c r="F29" s="14">
        <f t="shared" ca="1" si="7"/>
        <v>0</v>
      </c>
      <c r="G29" s="14">
        <f t="shared" ca="1" si="7"/>
        <v>0</v>
      </c>
      <c r="H29" s="14">
        <f t="shared" ca="1" si="7"/>
        <v>0</v>
      </c>
    </row>
    <row r="30" spans="1:8" x14ac:dyDescent="0.2">
      <c r="A30" s="16" t="s">
        <v>25</v>
      </c>
      <c r="B30" s="14">
        <f t="shared" ca="1" si="8"/>
        <v>0</v>
      </c>
      <c r="C30" s="14">
        <f t="shared" ca="1" si="8"/>
        <v>1</v>
      </c>
      <c r="D30" s="14">
        <f t="shared" ca="1" si="8"/>
        <v>0</v>
      </c>
      <c r="E30" s="19"/>
      <c r="F30" s="14">
        <f t="shared" ca="1" si="7"/>
        <v>0</v>
      </c>
      <c r="G30" s="14">
        <f t="shared" ca="1" si="7"/>
        <v>0</v>
      </c>
      <c r="H30" s="14">
        <f t="shared" ca="1" si="7"/>
        <v>0</v>
      </c>
    </row>
    <row r="31" spans="1:8" x14ac:dyDescent="0.2">
      <c r="A31" s="17" t="s">
        <v>22</v>
      </c>
      <c r="B31" s="14">
        <f t="shared" ca="1" si="8"/>
        <v>0</v>
      </c>
      <c r="C31" s="14">
        <f t="shared" ca="1" si="8"/>
        <v>0</v>
      </c>
      <c r="D31" s="14">
        <f t="shared" ca="1" si="8"/>
        <v>0</v>
      </c>
      <c r="E31" s="14">
        <f t="shared" ca="1" si="8"/>
        <v>0</v>
      </c>
      <c r="F31" s="19"/>
      <c r="G31" s="14">
        <f t="shared" ca="1" si="7"/>
        <v>0</v>
      </c>
      <c r="H31" s="14">
        <f t="shared" ca="1" si="7"/>
        <v>0</v>
      </c>
    </row>
    <row r="32" spans="1:8" x14ac:dyDescent="0.2">
      <c r="A32" s="16" t="s">
        <v>32</v>
      </c>
      <c r="B32" s="14">
        <f t="shared" ca="1" si="8"/>
        <v>0</v>
      </c>
      <c r="C32" s="14">
        <f t="shared" ca="1" si="8"/>
        <v>0</v>
      </c>
      <c r="D32" s="14">
        <f t="shared" ca="1" si="8"/>
        <v>0</v>
      </c>
      <c r="E32" s="14">
        <f t="shared" ca="1" si="8"/>
        <v>0</v>
      </c>
      <c r="F32" s="14">
        <f ca="1">COUNTIF(INDIRECT($A$26&amp;"!$H:$H"),$A32&amp;F$26)+COUNTIF(INDIRECT($A$26&amp;"!$H:$H"),F$26&amp;$A32)</f>
        <v>0</v>
      </c>
      <c r="G32" s="19"/>
      <c r="H32" s="14">
        <f ca="1">COUNTIF(INDIRECT($A$26&amp;"!$H:$H"),$A32&amp;H$26)+COUNTIF(INDIRECT($A$26&amp;"!$H:$H"),H$26&amp;$A32)</f>
        <v>0</v>
      </c>
    </row>
    <row r="33" spans="1:8" x14ac:dyDescent="0.2">
      <c r="A33" s="16" t="s">
        <v>23</v>
      </c>
      <c r="B33" s="14">
        <f t="shared" ca="1" si="8"/>
        <v>0</v>
      </c>
      <c r="C33" s="14">
        <f t="shared" ca="1" si="8"/>
        <v>1</v>
      </c>
      <c r="D33" s="14">
        <f t="shared" ca="1" si="8"/>
        <v>0</v>
      </c>
      <c r="E33" s="14">
        <f t="shared" ca="1" si="8"/>
        <v>0</v>
      </c>
      <c r="F33" s="14">
        <f t="shared" ref="F33:G33" ca="1" si="9">COUNTIF(INDIRECT($A$26&amp;"!$H:$H"),$A33&amp;F$26)+COUNTIF(INDIRECT($A$26&amp;"!$H:$H"),F$26&amp;$A33)</f>
        <v>0</v>
      </c>
      <c r="G33" s="14">
        <f t="shared" ca="1" si="9"/>
        <v>0</v>
      </c>
      <c r="H33" s="19"/>
    </row>
    <row r="36" spans="1:8" x14ac:dyDescent="0.2">
      <c r="A36" s="20" t="s">
        <v>101</v>
      </c>
      <c r="B36" s="18" t="s">
        <v>24</v>
      </c>
      <c r="C36" s="18" t="s">
        <v>20</v>
      </c>
      <c r="D36" s="18" t="s">
        <v>105</v>
      </c>
      <c r="E36" s="18" t="s">
        <v>25</v>
      </c>
      <c r="F36" s="18" t="s">
        <v>22</v>
      </c>
      <c r="G36" s="18" t="s">
        <v>32</v>
      </c>
      <c r="H36" s="18" t="s">
        <v>23</v>
      </c>
    </row>
    <row r="37" spans="1:8" x14ac:dyDescent="0.2">
      <c r="A37" s="16" t="s">
        <v>24</v>
      </c>
      <c r="B37" s="19"/>
      <c r="C37" s="14">
        <f ca="1">COUNTIF(INDIRECT($A$36&amp;"!$H:$H"),$A37&amp;C$26)+COUNTIF(INDIRECT($A$36&amp;"!$H:$H"),C$26&amp;$A37)</f>
        <v>0</v>
      </c>
      <c r="D37" s="14">
        <f t="shared" ref="D37:H42" ca="1" si="10">COUNTIF(INDIRECT($A$36&amp;"!$H:$H"),$A37&amp;D$26)+COUNTIF(INDIRECT($A$36&amp;"!$H:$H"),D$26&amp;$A37)</f>
        <v>0</v>
      </c>
      <c r="E37" s="14">
        <f t="shared" ca="1" si="10"/>
        <v>0</v>
      </c>
      <c r="F37" s="14">
        <f t="shared" ca="1" si="10"/>
        <v>0</v>
      </c>
      <c r="G37" s="14">
        <f t="shared" ca="1" si="10"/>
        <v>0</v>
      </c>
      <c r="H37" s="14">
        <f t="shared" ca="1" si="10"/>
        <v>0</v>
      </c>
    </row>
    <row r="38" spans="1:8" x14ac:dyDescent="0.2">
      <c r="A38" s="17" t="s">
        <v>20</v>
      </c>
      <c r="B38" s="14">
        <f ca="1">COUNTIF(INDIRECT($A$36&amp;"!$H:$H"),$A38&amp;B$26)+COUNTIF(INDIRECT($A$36&amp;"!$H:$H"),B$26&amp;$A38)</f>
        <v>0</v>
      </c>
      <c r="C38" s="19"/>
      <c r="D38" s="14">
        <f t="shared" ca="1" si="10"/>
        <v>0</v>
      </c>
      <c r="E38" s="14">
        <f t="shared" ca="1" si="10"/>
        <v>0</v>
      </c>
      <c r="F38" s="14">
        <f t="shared" ca="1" si="10"/>
        <v>0</v>
      </c>
      <c r="G38" s="14">
        <f t="shared" ca="1" si="10"/>
        <v>0</v>
      </c>
      <c r="H38" s="14">
        <f t="shared" ca="1" si="10"/>
        <v>0</v>
      </c>
    </row>
    <row r="39" spans="1:8" x14ac:dyDescent="0.2">
      <c r="A39" s="18" t="s">
        <v>105</v>
      </c>
      <c r="B39" s="14">
        <f t="shared" ref="B39:F43" ca="1" si="11">COUNTIF(INDIRECT($A$36&amp;"!$H:$H"),$A39&amp;B$26)+COUNTIF(INDIRECT($A$36&amp;"!$H:$H"),B$26&amp;$A39)</f>
        <v>0</v>
      </c>
      <c r="C39" s="14">
        <f t="shared" ca="1" si="11"/>
        <v>0</v>
      </c>
      <c r="D39" s="19"/>
      <c r="E39" s="14">
        <f t="shared" ca="1" si="10"/>
        <v>0</v>
      </c>
      <c r="F39" s="14">
        <f t="shared" ca="1" si="10"/>
        <v>0</v>
      </c>
      <c r="G39" s="14">
        <f t="shared" ca="1" si="10"/>
        <v>0</v>
      </c>
      <c r="H39" s="14">
        <f t="shared" ca="1" si="10"/>
        <v>0</v>
      </c>
    </row>
    <row r="40" spans="1:8" x14ac:dyDescent="0.2">
      <c r="A40" s="16" t="s">
        <v>25</v>
      </c>
      <c r="B40" s="14">
        <f t="shared" ca="1" si="11"/>
        <v>0</v>
      </c>
      <c r="C40" s="14">
        <f t="shared" ca="1" si="11"/>
        <v>0</v>
      </c>
      <c r="D40" s="14">
        <f t="shared" ca="1" si="11"/>
        <v>0</v>
      </c>
      <c r="E40" s="19"/>
      <c r="F40" s="14">
        <f t="shared" ca="1" si="10"/>
        <v>0</v>
      </c>
      <c r="G40" s="14">
        <f t="shared" ca="1" si="10"/>
        <v>0</v>
      </c>
      <c r="H40" s="14">
        <f t="shared" ca="1" si="10"/>
        <v>0</v>
      </c>
    </row>
    <row r="41" spans="1:8" x14ac:dyDescent="0.2">
      <c r="A41" s="17" t="s">
        <v>22</v>
      </c>
      <c r="B41" s="14">
        <f t="shared" ca="1" si="11"/>
        <v>0</v>
      </c>
      <c r="C41" s="14">
        <f t="shared" ca="1" si="11"/>
        <v>0</v>
      </c>
      <c r="D41" s="14">
        <f t="shared" ca="1" si="11"/>
        <v>0</v>
      </c>
      <c r="E41" s="14">
        <f t="shared" ca="1" si="11"/>
        <v>0</v>
      </c>
      <c r="F41" s="19"/>
      <c r="G41" s="14">
        <f t="shared" ca="1" si="10"/>
        <v>1</v>
      </c>
      <c r="H41" s="14">
        <f t="shared" ca="1" si="10"/>
        <v>0</v>
      </c>
    </row>
    <row r="42" spans="1:8" x14ac:dyDescent="0.2">
      <c r="A42" s="16" t="s">
        <v>32</v>
      </c>
      <c r="B42" s="14">
        <f t="shared" ca="1" si="11"/>
        <v>0</v>
      </c>
      <c r="C42" s="14">
        <f t="shared" ca="1" si="11"/>
        <v>0</v>
      </c>
      <c r="D42" s="14">
        <f t="shared" ca="1" si="11"/>
        <v>0</v>
      </c>
      <c r="E42" s="14">
        <f t="shared" ca="1" si="11"/>
        <v>0</v>
      </c>
      <c r="F42" s="14">
        <f t="shared" ca="1" si="11"/>
        <v>1</v>
      </c>
      <c r="G42" s="19"/>
      <c r="H42" s="14">
        <f t="shared" ca="1" si="10"/>
        <v>0</v>
      </c>
    </row>
    <row r="43" spans="1:8" x14ac:dyDescent="0.2">
      <c r="A43" s="16" t="s">
        <v>23</v>
      </c>
      <c r="B43" s="14">
        <f t="shared" ca="1" si="11"/>
        <v>0</v>
      </c>
      <c r="C43" s="14">
        <f t="shared" ca="1" si="11"/>
        <v>0</v>
      </c>
      <c r="D43" s="14">
        <f t="shared" ca="1" si="11"/>
        <v>0</v>
      </c>
      <c r="E43" s="14">
        <f t="shared" ca="1" si="11"/>
        <v>0</v>
      </c>
      <c r="F43" s="14">
        <f t="shared" ca="1" si="11"/>
        <v>0</v>
      </c>
      <c r="G43" s="14">
        <f ca="1">COUNTIF(INDIRECT($A$36&amp;"!$H:$H"),$A43&amp;G$26)+COUNTIF(INDIRECT($A$36&amp;"!$H:$H"),G$26&amp;$A43)</f>
        <v>0</v>
      </c>
      <c r="H43" s="19"/>
    </row>
    <row r="46" spans="1:8" x14ac:dyDescent="0.2">
      <c r="A46" s="22" t="s">
        <v>102</v>
      </c>
      <c r="B46" s="18" t="s">
        <v>24</v>
      </c>
      <c r="C46" s="18" t="s">
        <v>20</v>
      </c>
      <c r="D46" s="18" t="s">
        <v>105</v>
      </c>
      <c r="E46" s="18" t="s">
        <v>25</v>
      </c>
      <c r="F46" s="18" t="s">
        <v>22</v>
      </c>
      <c r="G46" s="18" t="s">
        <v>32</v>
      </c>
      <c r="H46" s="18" t="s">
        <v>23</v>
      </c>
    </row>
    <row r="47" spans="1:8" x14ac:dyDescent="0.2">
      <c r="A47" s="16" t="s">
        <v>24</v>
      </c>
      <c r="B47" s="19"/>
      <c r="C47" s="14">
        <f ca="1">COUNTIF(INDIRECT($A$46&amp;"!$H:$H"),$A47&amp;C$26)+COUNTIF(INDIRECT($A$46&amp;"!$H:$H"),C$26&amp;$A47)</f>
        <v>0</v>
      </c>
      <c r="D47" s="14">
        <f t="shared" ref="D47:H52" ca="1" si="12">COUNTIF(INDIRECT($A$46&amp;"!$H:$H"),$A47&amp;D$26)+COUNTIF(INDIRECT($A$46&amp;"!$H:$H"),D$26&amp;$A47)</f>
        <v>0</v>
      </c>
      <c r="E47" s="14">
        <f t="shared" ca="1" si="12"/>
        <v>0</v>
      </c>
      <c r="F47" s="14">
        <f t="shared" ca="1" si="12"/>
        <v>0</v>
      </c>
      <c r="G47" s="14">
        <f t="shared" ca="1" si="12"/>
        <v>0</v>
      </c>
      <c r="H47" s="14">
        <f t="shared" ca="1" si="12"/>
        <v>0</v>
      </c>
    </row>
    <row r="48" spans="1:8" x14ac:dyDescent="0.2">
      <c r="A48" s="17" t="s">
        <v>20</v>
      </c>
      <c r="B48" s="14">
        <f ca="1">COUNTIF(INDIRECT($A$46&amp;"!$H:$H"),$A48&amp;B$26)+COUNTIF(INDIRECT($A$46&amp;"!$H:$H"),B$26&amp;$A48)</f>
        <v>0</v>
      </c>
      <c r="C48" s="19"/>
      <c r="D48" s="14">
        <f t="shared" ca="1" si="12"/>
        <v>0</v>
      </c>
      <c r="E48" s="14">
        <f t="shared" ca="1" si="12"/>
        <v>0</v>
      </c>
      <c r="F48" s="14">
        <f t="shared" ca="1" si="12"/>
        <v>0</v>
      </c>
      <c r="G48" s="14">
        <f t="shared" ca="1" si="12"/>
        <v>0</v>
      </c>
      <c r="H48" s="14">
        <f t="shared" ca="1" si="12"/>
        <v>0</v>
      </c>
    </row>
    <row r="49" spans="1:8" x14ac:dyDescent="0.2">
      <c r="A49" s="18" t="s">
        <v>105</v>
      </c>
      <c r="B49" s="14">
        <f t="shared" ref="B49:F53" ca="1" si="13">COUNTIF(INDIRECT($A$46&amp;"!$H:$H"),$A49&amp;B$26)+COUNTIF(INDIRECT($A$46&amp;"!$H:$H"),B$26&amp;$A49)</f>
        <v>0</v>
      </c>
      <c r="C49" s="14">
        <f t="shared" ca="1" si="13"/>
        <v>0</v>
      </c>
      <c r="D49" s="19"/>
      <c r="E49" s="14">
        <f t="shared" ca="1" si="12"/>
        <v>0</v>
      </c>
      <c r="F49" s="14">
        <f t="shared" ca="1" si="12"/>
        <v>0</v>
      </c>
      <c r="G49" s="14">
        <f t="shared" ca="1" si="12"/>
        <v>0</v>
      </c>
      <c r="H49" s="14">
        <f t="shared" ca="1" si="12"/>
        <v>0</v>
      </c>
    </row>
    <row r="50" spans="1:8" x14ac:dyDescent="0.2">
      <c r="A50" s="16" t="s">
        <v>25</v>
      </c>
      <c r="B50" s="14">
        <f t="shared" ca="1" si="13"/>
        <v>0</v>
      </c>
      <c r="C50" s="14">
        <f t="shared" ca="1" si="13"/>
        <v>0</v>
      </c>
      <c r="D50" s="14">
        <f t="shared" ca="1" si="13"/>
        <v>0</v>
      </c>
      <c r="E50" s="19"/>
      <c r="F50" s="14">
        <f t="shared" ca="1" si="12"/>
        <v>2</v>
      </c>
      <c r="G50" s="14">
        <f t="shared" ca="1" si="12"/>
        <v>0</v>
      </c>
      <c r="H50" s="14">
        <f t="shared" ca="1" si="12"/>
        <v>2</v>
      </c>
    </row>
    <row r="51" spans="1:8" x14ac:dyDescent="0.2">
      <c r="A51" s="17" t="s">
        <v>22</v>
      </c>
      <c r="B51" s="14">
        <f t="shared" ca="1" si="13"/>
        <v>0</v>
      </c>
      <c r="C51" s="14">
        <f t="shared" ca="1" si="13"/>
        <v>0</v>
      </c>
      <c r="D51" s="14">
        <f t="shared" ca="1" si="13"/>
        <v>0</v>
      </c>
      <c r="E51" s="14">
        <f t="shared" ca="1" si="13"/>
        <v>2</v>
      </c>
      <c r="F51" s="19"/>
      <c r="G51" s="14">
        <f t="shared" ca="1" si="12"/>
        <v>0</v>
      </c>
      <c r="H51" s="14">
        <f t="shared" ca="1" si="12"/>
        <v>0</v>
      </c>
    </row>
    <row r="52" spans="1:8" x14ac:dyDescent="0.2">
      <c r="A52" s="16" t="s">
        <v>32</v>
      </c>
      <c r="B52" s="14">
        <f t="shared" ca="1" si="13"/>
        <v>0</v>
      </c>
      <c r="C52" s="14">
        <f t="shared" ca="1" si="13"/>
        <v>0</v>
      </c>
      <c r="D52" s="14">
        <f t="shared" ca="1" si="13"/>
        <v>0</v>
      </c>
      <c r="E52" s="14">
        <f t="shared" ca="1" si="13"/>
        <v>0</v>
      </c>
      <c r="F52" s="14">
        <f t="shared" ca="1" si="13"/>
        <v>0</v>
      </c>
      <c r="G52" s="19"/>
      <c r="H52" s="14">
        <f t="shared" ca="1" si="12"/>
        <v>0</v>
      </c>
    </row>
    <row r="53" spans="1:8" x14ac:dyDescent="0.2">
      <c r="A53" s="16" t="s">
        <v>23</v>
      </c>
      <c r="B53" s="14">
        <f t="shared" ca="1" si="13"/>
        <v>0</v>
      </c>
      <c r="C53" s="14">
        <f t="shared" ca="1" si="13"/>
        <v>0</v>
      </c>
      <c r="D53" s="14">
        <f t="shared" ca="1" si="13"/>
        <v>0</v>
      </c>
      <c r="E53" s="14">
        <f t="shared" ca="1" si="13"/>
        <v>2</v>
      </c>
      <c r="F53" s="14">
        <f t="shared" ca="1" si="13"/>
        <v>0</v>
      </c>
      <c r="G53" s="14">
        <f ca="1">COUNTIF(INDIRECT($A$46&amp;"!$H:$H"),$A53&amp;G$26)+COUNTIF(INDIRECT($A$46&amp;"!$H:$H"),G$26&amp;$A53)</f>
        <v>0</v>
      </c>
      <c r="H53" s="19"/>
    </row>
    <row r="56" spans="1:8" x14ac:dyDescent="0.2">
      <c r="A56" s="22" t="s">
        <v>103</v>
      </c>
      <c r="B56" s="18" t="s">
        <v>24</v>
      </c>
      <c r="C56" s="18" t="s">
        <v>20</v>
      </c>
      <c r="D56" s="18" t="s">
        <v>105</v>
      </c>
      <c r="E56" s="18" t="s">
        <v>25</v>
      </c>
      <c r="F56" s="18" t="s">
        <v>22</v>
      </c>
      <c r="G56" s="18" t="s">
        <v>32</v>
      </c>
      <c r="H56" s="18" t="s">
        <v>23</v>
      </c>
    </row>
    <row r="57" spans="1:8" x14ac:dyDescent="0.2">
      <c r="A57" s="16" t="s">
        <v>24</v>
      </c>
      <c r="B57" s="19"/>
      <c r="C57" s="14">
        <f ca="1">COUNTIF(INDIRECT($A$56&amp;"!$H:$H"),$A57&amp;C$26)+COUNTIF(INDIRECT($A$56&amp;"!$H:$H"),C$26&amp;$A57)</f>
        <v>0</v>
      </c>
      <c r="D57" s="14">
        <f t="shared" ref="D57:H62" ca="1" si="14">COUNTIF(INDIRECT($A$56&amp;"!$H:$H"),$A57&amp;D$26)+COUNTIF(INDIRECT($A$56&amp;"!$H:$H"),D$26&amp;$A57)</f>
        <v>0</v>
      </c>
      <c r="E57" s="14">
        <f t="shared" ca="1" si="14"/>
        <v>0</v>
      </c>
      <c r="F57" s="14">
        <f t="shared" ca="1" si="14"/>
        <v>0</v>
      </c>
      <c r="G57" s="14">
        <f t="shared" ca="1" si="14"/>
        <v>0</v>
      </c>
      <c r="H57" s="14">
        <f t="shared" ca="1" si="14"/>
        <v>0</v>
      </c>
    </row>
    <row r="58" spans="1:8" x14ac:dyDescent="0.2">
      <c r="A58" s="17" t="s">
        <v>20</v>
      </c>
      <c r="B58" s="14">
        <f ca="1">COUNTIF(INDIRECT($A$56&amp;"!$H:$H"),$A58&amp;B$26)+COUNTIF(INDIRECT($A$56&amp;"!$H:$H"),B$26&amp;$A58)</f>
        <v>0</v>
      </c>
      <c r="C58" s="19"/>
      <c r="D58" s="14">
        <f t="shared" ca="1" si="14"/>
        <v>0</v>
      </c>
      <c r="E58" s="14">
        <f t="shared" ca="1" si="14"/>
        <v>1</v>
      </c>
      <c r="F58" s="14">
        <f t="shared" ca="1" si="14"/>
        <v>0</v>
      </c>
      <c r="G58" s="14">
        <f t="shared" ca="1" si="14"/>
        <v>0</v>
      </c>
      <c r="H58" s="14">
        <f t="shared" ca="1" si="14"/>
        <v>0</v>
      </c>
    </row>
    <row r="59" spans="1:8" x14ac:dyDescent="0.2">
      <c r="A59" s="18" t="s">
        <v>105</v>
      </c>
      <c r="B59" s="14">
        <f t="shared" ref="B59:F63" ca="1" si="15">COUNTIF(INDIRECT($A$56&amp;"!$H:$H"),$A59&amp;B$26)+COUNTIF(INDIRECT($A$56&amp;"!$H:$H"),B$26&amp;$A59)</f>
        <v>0</v>
      </c>
      <c r="C59" s="14">
        <f t="shared" ca="1" si="15"/>
        <v>0</v>
      </c>
      <c r="D59" s="19"/>
      <c r="E59" s="14">
        <f t="shared" ca="1" si="14"/>
        <v>1</v>
      </c>
      <c r="F59" s="14">
        <f t="shared" ca="1" si="14"/>
        <v>0</v>
      </c>
      <c r="G59" s="14">
        <f t="shared" ca="1" si="14"/>
        <v>0</v>
      </c>
      <c r="H59" s="14">
        <f t="shared" ca="1" si="14"/>
        <v>0</v>
      </c>
    </row>
    <row r="60" spans="1:8" x14ac:dyDescent="0.2">
      <c r="A60" s="16" t="s">
        <v>25</v>
      </c>
      <c r="B60" s="14">
        <f t="shared" ca="1" si="15"/>
        <v>0</v>
      </c>
      <c r="C60" s="14">
        <f t="shared" ca="1" si="15"/>
        <v>1</v>
      </c>
      <c r="D60" s="14">
        <f t="shared" ca="1" si="15"/>
        <v>1</v>
      </c>
      <c r="E60" s="19"/>
      <c r="F60" s="14">
        <f t="shared" ca="1" si="14"/>
        <v>0</v>
      </c>
      <c r="G60" s="14">
        <f t="shared" ca="1" si="14"/>
        <v>0</v>
      </c>
      <c r="H60" s="14">
        <f t="shared" ca="1" si="14"/>
        <v>0</v>
      </c>
    </row>
    <row r="61" spans="1:8" x14ac:dyDescent="0.2">
      <c r="A61" s="17" t="s">
        <v>22</v>
      </c>
      <c r="B61" s="14">
        <f t="shared" ca="1" si="15"/>
        <v>0</v>
      </c>
      <c r="C61" s="14">
        <f t="shared" ca="1" si="15"/>
        <v>0</v>
      </c>
      <c r="D61" s="14">
        <f t="shared" ca="1" si="15"/>
        <v>0</v>
      </c>
      <c r="E61" s="14">
        <f t="shared" ca="1" si="15"/>
        <v>0</v>
      </c>
      <c r="F61" s="19"/>
      <c r="G61" s="14">
        <f t="shared" ca="1" si="14"/>
        <v>0</v>
      </c>
      <c r="H61" s="14">
        <f t="shared" ca="1" si="14"/>
        <v>0</v>
      </c>
    </row>
    <row r="62" spans="1:8" x14ac:dyDescent="0.2">
      <c r="A62" s="16" t="s">
        <v>32</v>
      </c>
      <c r="B62" s="14">
        <f t="shared" ca="1" si="15"/>
        <v>0</v>
      </c>
      <c r="C62" s="14">
        <f t="shared" ca="1" si="15"/>
        <v>0</v>
      </c>
      <c r="D62" s="14">
        <f t="shared" ca="1" si="15"/>
        <v>0</v>
      </c>
      <c r="E62" s="14">
        <f t="shared" ca="1" si="15"/>
        <v>0</v>
      </c>
      <c r="F62" s="14">
        <f t="shared" ca="1" si="15"/>
        <v>0</v>
      </c>
      <c r="G62" s="19"/>
      <c r="H62" s="14">
        <f t="shared" ca="1" si="14"/>
        <v>0</v>
      </c>
    </row>
    <row r="63" spans="1:8" x14ac:dyDescent="0.2">
      <c r="A63" s="16" t="s">
        <v>23</v>
      </c>
      <c r="B63" s="14">
        <f t="shared" ca="1" si="15"/>
        <v>0</v>
      </c>
      <c r="C63" s="14">
        <f t="shared" ca="1" si="15"/>
        <v>0</v>
      </c>
      <c r="D63" s="14">
        <f t="shared" ca="1" si="15"/>
        <v>0</v>
      </c>
      <c r="E63" s="14">
        <f t="shared" ca="1" si="15"/>
        <v>0</v>
      </c>
      <c r="F63" s="14">
        <f t="shared" ca="1" si="15"/>
        <v>0</v>
      </c>
      <c r="G63" s="14">
        <f ca="1">COUNTIF(INDIRECT($A$56&amp;"!$H:$H"),$A63&amp;G$26)+COUNTIF(INDIRECT($A$56&amp;"!$H:$H"),G$26&amp;$A63)</f>
        <v>0</v>
      </c>
      <c r="H63" s="19"/>
    </row>
    <row r="66" spans="1:8" x14ac:dyDescent="0.2">
      <c r="A66" s="22" t="s">
        <v>104</v>
      </c>
      <c r="B66" s="18" t="s">
        <v>24</v>
      </c>
      <c r="C66" s="18" t="s">
        <v>20</v>
      </c>
      <c r="D66" s="18" t="s">
        <v>105</v>
      </c>
      <c r="E66" s="18" t="s">
        <v>25</v>
      </c>
      <c r="F66" s="18" t="s">
        <v>22</v>
      </c>
      <c r="G66" s="18" t="s">
        <v>32</v>
      </c>
      <c r="H66" s="18" t="s">
        <v>23</v>
      </c>
    </row>
    <row r="67" spans="1:8" x14ac:dyDescent="0.2">
      <c r="A67" s="16" t="s">
        <v>24</v>
      </c>
      <c r="B67" s="19"/>
      <c r="C67" s="14">
        <f ca="1">COUNTIF(INDIRECT($A$66&amp;"!$H:$H"),$A67&amp;C$26)+COUNTIF(INDIRECT($A$66&amp;"!$H:$H"),C$26&amp;$A67)</f>
        <v>0</v>
      </c>
      <c r="D67" s="14">
        <f t="shared" ref="D67:H71" ca="1" si="16">COUNTIF(INDIRECT($A$66&amp;"!$H:$H"),$A67&amp;D$26)+COUNTIF(INDIRECT($A$66&amp;"!$H:$H"),D$26&amp;$A67)</f>
        <v>1</v>
      </c>
      <c r="E67" s="14">
        <f t="shared" ca="1" si="16"/>
        <v>0</v>
      </c>
      <c r="F67" s="14">
        <f t="shared" ca="1" si="16"/>
        <v>1</v>
      </c>
      <c r="G67" s="14">
        <f t="shared" ca="1" si="16"/>
        <v>0</v>
      </c>
      <c r="H67" s="14">
        <f t="shared" ca="1" si="16"/>
        <v>0</v>
      </c>
    </row>
    <row r="68" spans="1:8" x14ac:dyDescent="0.2">
      <c r="A68" s="17" t="s">
        <v>20</v>
      </c>
      <c r="B68" s="14">
        <f ca="1">COUNTIF(INDIRECT($A$66&amp;"!$H:$H"),$A68&amp;B$26)+COUNTIF(INDIRECT($A$66&amp;"!$H:$H"),B$26&amp;$A68)</f>
        <v>0</v>
      </c>
      <c r="C68" s="19"/>
      <c r="D68" s="14">
        <f t="shared" ca="1" si="16"/>
        <v>0</v>
      </c>
      <c r="E68" s="14">
        <f t="shared" ca="1" si="16"/>
        <v>0</v>
      </c>
      <c r="F68" s="14">
        <f t="shared" ca="1" si="16"/>
        <v>0</v>
      </c>
      <c r="G68" s="14">
        <f t="shared" ca="1" si="16"/>
        <v>0</v>
      </c>
      <c r="H68" s="14">
        <f t="shared" ca="1" si="16"/>
        <v>0</v>
      </c>
    </row>
    <row r="69" spans="1:8" x14ac:dyDescent="0.2">
      <c r="A69" s="18" t="s">
        <v>105</v>
      </c>
      <c r="B69" s="14">
        <f t="shared" ref="B69:C69" ca="1" si="17">COUNTIF(INDIRECT($A$66&amp;"!$H:$H"),$A69&amp;B$26)+COUNTIF(INDIRECT($A$66&amp;"!$H:$H"),B$26&amp;$A69)</f>
        <v>1</v>
      </c>
      <c r="C69" s="14">
        <f t="shared" ca="1" si="17"/>
        <v>0</v>
      </c>
      <c r="D69" s="19"/>
      <c r="E69" s="14">
        <f t="shared" ca="1" si="16"/>
        <v>0</v>
      </c>
      <c r="F69" s="14">
        <f t="shared" ca="1" si="16"/>
        <v>1</v>
      </c>
      <c r="G69" s="14">
        <f t="shared" ca="1" si="16"/>
        <v>0</v>
      </c>
      <c r="H69" s="14">
        <f t="shared" ca="1" si="16"/>
        <v>0</v>
      </c>
    </row>
    <row r="70" spans="1:8" x14ac:dyDescent="0.2">
      <c r="A70" s="16" t="s">
        <v>25</v>
      </c>
      <c r="B70" s="14">
        <f t="shared" ref="B70:D70" ca="1" si="18">COUNTIF(INDIRECT($A$66&amp;"!$H:$H"),$A70&amp;B$26)+COUNTIF(INDIRECT($A$66&amp;"!$H:$H"),B$26&amp;$A70)</f>
        <v>0</v>
      </c>
      <c r="C70" s="14">
        <f t="shared" ca="1" si="18"/>
        <v>0</v>
      </c>
      <c r="D70" s="14">
        <f t="shared" ca="1" si="18"/>
        <v>0</v>
      </c>
      <c r="E70" s="19"/>
      <c r="F70" s="14">
        <f t="shared" ca="1" si="16"/>
        <v>0</v>
      </c>
      <c r="G70" s="14">
        <f t="shared" ca="1" si="16"/>
        <v>0</v>
      </c>
      <c r="H70" s="14">
        <f t="shared" ca="1" si="16"/>
        <v>0</v>
      </c>
    </row>
    <row r="71" spans="1:8" x14ac:dyDescent="0.2">
      <c r="A71" s="17" t="s">
        <v>22</v>
      </c>
      <c r="B71" s="14">
        <f t="shared" ref="B71:E71" ca="1" si="19">COUNTIF(INDIRECT($A$66&amp;"!$H:$H"),$A71&amp;B$26)+COUNTIF(INDIRECT($A$66&amp;"!$H:$H"),B$26&amp;$A71)</f>
        <v>1</v>
      </c>
      <c r="C71" s="14">
        <f t="shared" ca="1" si="19"/>
        <v>0</v>
      </c>
      <c r="D71" s="14">
        <f t="shared" ca="1" si="19"/>
        <v>1</v>
      </c>
      <c r="E71" s="14">
        <f t="shared" ca="1" si="19"/>
        <v>0</v>
      </c>
      <c r="F71" s="19"/>
      <c r="G71" s="14">
        <f t="shared" ca="1" si="16"/>
        <v>0</v>
      </c>
      <c r="H71" s="14">
        <f t="shared" ca="1" si="16"/>
        <v>0</v>
      </c>
    </row>
    <row r="72" spans="1:8" x14ac:dyDescent="0.2">
      <c r="A72" s="16" t="s">
        <v>32</v>
      </c>
      <c r="B72" s="14">
        <f t="shared" ref="B72:F72" ca="1" si="20">COUNTIF(INDIRECT($A$66&amp;"!$H:$H"),$A72&amp;B$26)+COUNTIF(INDIRECT($A$66&amp;"!$H:$H"),B$26&amp;$A72)</f>
        <v>0</v>
      </c>
      <c r="C72" s="14">
        <f t="shared" ca="1" si="20"/>
        <v>0</v>
      </c>
      <c r="D72" s="14">
        <f t="shared" ca="1" si="20"/>
        <v>0</v>
      </c>
      <c r="E72" s="14">
        <f t="shared" ca="1" si="20"/>
        <v>0</v>
      </c>
      <c r="F72" s="14">
        <f t="shared" ca="1" si="20"/>
        <v>0</v>
      </c>
      <c r="G72" s="19"/>
      <c r="H72" s="14">
        <f ca="1">COUNTIF(INDIRECT($A$66&amp;"!$H:$H"),$A72&amp;H$26)+COUNTIF(INDIRECT($A$66&amp;"!$H:$H"),H$26&amp;$A72)</f>
        <v>0</v>
      </c>
    </row>
    <row r="73" spans="1:8" x14ac:dyDescent="0.2">
      <c r="A73" s="16" t="s">
        <v>23</v>
      </c>
      <c r="B73" s="14">
        <f t="shared" ref="B73:G73" ca="1" si="21">COUNTIF(INDIRECT($A$66&amp;"!$H:$H"),$A73&amp;B$26)+COUNTIF(INDIRECT($A$66&amp;"!$H:$H"),B$26&amp;$A73)</f>
        <v>0</v>
      </c>
      <c r="C73" s="14">
        <f t="shared" ca="1" si="21"/>
        <v>0</v>
      </c>
      <c r="D73" s="14">
        <f t="shared" ca="1" si="21"/>
        <v>0</v>
      </c>
      <c r="E73" s="14">
        <f t="shared" ca="1" si="21"/>
        <v>0</v>
      </c>
      <c r="F73" s="14">
        <f t="shared" ca="1" si="21"/>
        <v>0</v>
      </c>
      <c r="G73" s="14">
        <f t="shared" ca="1" si="21"/>
        <v>0</v>
      </c>
      <c r="H73" s="19"/>
    </row>
    <row r="76" spans="1:8" x14ac:dyDescent="0.2">
      <c r="A76" s="33" t="s">
        <v>115</v>
      </c>
      <c r="B76" s="18" t="s">
        <v>24</v>
      </c>
      <c r="C76" s="18" t="s">
        <v>20</v>
      </c>
      <c r="D76" s="18" t="s">
        <v>105</v>
      </c>
      <c r="E76" s="18" t="s">
        <v>25</v>
      </c>
      <c r="F76" s="18" t="s">
        <v>22</v>
      </c>
      <c r="G76" s="18" t="s">
        <v>32</v>
      </c>
      <c r="H76" s="18" t="s">
        <v>23</v>
      </c>
    </row>
    <row r="77" spans="1:8" x14ac:dyDescent="0.2">
      <c r="A77" s="16" t="s">
        <v>24</v>
      </c>
      <c r="B77" s="19"/>
      <c r="C77" s="14">
        <f ca="1">COUNTIF(INDIRECT($A$76&amp;"!$H:$H"),$A77&amp;C$26)+COUNTIF(INDIRECT($A$76&amp;"!$H:$H"),C$26&amp;$A77)</f>
        <v>0</v>
      </c>
      <c r="D77" s="14">
        <f t="shared" ref="D77:H81" ca="1" si="22">COUNTIF(INDIRECT($A$76&amp;"!$H:$H"),$A77&amp;D$26)+COUNTIF(INDIRECT($A$76&amp;"!$H:$H"),D$26&amp;$A77)</f>
        <v>0</v>
      </c>
      <c r="E77" s="14">
        <f t="shared" ca="1" si="22"/>
        <v>0</v>
      </c>
      <c r="F77" s="14">
        <f t="shared" ca="1" si="22"/>
        <v>0</v>
      </c>
      <c r="G77" s="14">
        <f t="shared" ca="1" si="22"/>
        <v>0</v>
      </c>
      <c r="H77" s="14">
        <f t="shared" ca="1" si="22"/>
        <v>0</v>
      </c>
    </row>
    <row r="78" spans="1:8" x14ac:dyDescent="0.2">
      <c r="A78" s="17" t="s">
        <v>20</v>
      </c>
      <c r="B78" s="14">
        <f ca="1">COUNTIF(INDIRECT($A$76&amp;"!$H:$H"),$A78&amp;B$26)+COUNTIF(INDIRECT($A$76&amp;"!$H:$H"),B$26&amp;$A78)</f>
        <v>0</v>
      </c>
      <c r="C78" s="19"/>
      <c r="D78" s="14">
        <f t="shared" ca="1" si="22"/>
        <v>0</v>
      </c>
      <c r="E78" s="14">
        <f t="shared" ca="1" si="22"/>
        <v>0</v>
      </c>
      <c r="F78" s="14">
        <f t="shared" ca="1" si="22"/>
        <v>0</v>
      </c>
      <c r="G78" s="14">
        <f t="shared" ca="1" si="22"/>
        <v>0</v>
      </c>
      <c r="H78" s="14">
        <f t="shared" ca="1" si="22"/>
        <v>2</v>
      </c>
    </row>
    <row r="79" spans="1:8" x14ac:dyDescent="0.2">
      <c r="A79" s="18" t="s">
        <v>105</v>
      </c>
      <c r="B79" s="14">
        <f t="shared" ref="B79:C79" ca="1" si="23">COUNTIF(INDIRECT($A$76&amp;"!$H:$H"),$A79&amp;B$26)+COUNTIF(INDIRECT($A$76&amp;"!$H:$H"),B$26&amp;$A79)</f>
        <v>0</v>
      </c>
      <c r="C79" s="14">
        <f t="shared" ca="1" si="23"/>
        <v>0</v>
      </c>
      <c r="D79" s="19"/>
      <c r="E79" s="14">
        <f t="shared" ca="1" si="22"/>
        <v>0</v>
      </c>
      <c r="F79" s="14">
        <f t="shared" ca="1" si="22"/>
        <v>0</v>
      </c>
      <c r="G79" s="14">
        <f t="shared" ca="1" si="22"/>
        <v>0</v>
      </c>
      <c r="H79" s="14">
        <f t="shared" ca="1" si="22"/>
        <v>0</v>
      </c>
    </row>
    <row r="80" spans="1:8" x14ac:dyDescent="0.2">
      <c r="A80" s="16" t="s">
        <v>25</v>
      </c>
      <c r="B80" s="14">
        <f t="shared" ref="B80:D80" ca="1" si="24">COUNTIF(INDIRECT($A$76&amp;"!$H:$H"),$A80&amp;B$26)+COUNTIF(INDIRECT($A$76&amp;"!$H:$H"),B$26&amp;$A80)</f>
        <v>0</v>
      </c>
      <c r="C80" s="14">
        <f t="shared" ca="1" si="24"/>
        <v>0</v>
      </c>
      <c r="D80" s="14">
        <f t="shared" ca="1" si="24"/>
        <v>0</v>
      </c>
      <c r="E80" s="19"/>
      <c r="F80" s="14">
        <f t="shared" ca="1" si="22"/>
        <v>0</v>
      </c>
      <c r="G80" s="14">
        <f t="shared" ca="1" si="22"/>
        <v>0</v>
      </c>
      <c r="H80" s="14">
        <f t="shared" ca="1" si="22"/>
        <v>0</v>
      </c>
    </row>
    <row r="81" spans="1:8" x14ac:dyDescent="0.2">
      <c r="A81" s="17" t="s">
        <v>22</v>
      </c>
      <c r="B81" s="14">
        <f t="shared" ref="B81:E81" ca="1" si="25">COUNTIF(INDIRECT($A$76&amp;"!$H:$H"),$A81&amp;B$26)+COUNTIF(INDIRECT($A$76&amp;"!$H:$H"),B$26&amp;$A81)</f>
        <v>0</v>
      </c>
      <c r="C81" s="14">
        <f t="shared" ca="1" si="25"/>
        <v>0</v>
      </c>
      <c r="D81" s="14">
        <f t="shared" ca="1" si="25"/>
        <v>0</v>
      </c>
      <c r="E81" s="14">
        <f t="shared" ca="1" si="25"/>
        <v>0</v>
      </c>
      <c r="F81" s="19"/>
      <c r="G81" s="14">
        <f t="shared" ca="1" si="22"/>
        <v>0</v>
      </c>
      <c r="H81" s="14">
        <f t="shared" ca="1" si="22"/>
        <v>0</v>
      </c>
    </row>
    <row r="82" spans="1:8" x14ac:dyDescent="0.2">
      <c r="A82" s="16" t="s">
        <v>32</v>
      </c>
      <c r="B82" s="14">
        <f t="shared" ref="B82:F82" ca="1" si="26">COUNTIF(INDIRECT($A$76&amp;"!$H:$H"),$A82&amp;B$26)+COUNTIF(INDIRECT($A$76&amp;"!$H:$H"),B$26&amp;$A82)</f>
        <v>0</v>
      </c>
      <c r="C82" s="14">
        <f t="shared" ca="1" si="26"/>
        <v>0</v>
      </c>
      <c r="D82" s="14">
        <f t="shared" ca="1" si="26"/>
        <v>0</v>
      </c>
      <c r="E82" s="14">
        <f t="shared" ca="1" si="26"/>
        <v>0</v>
      </c>
      <c r="F82" s="14">
        <f t="shared" ca="1" si="26"/>
        <v>0</v>
      </c>
      <c r="G82" s="19"/>
      <c r="H82" s="14">
        <f ca="1">COUNTIF(INDIRECT($A$76&amp;"!$H:$H"),$A82&amp;H$26)+COUNTIF(INDIRECT($A$76&amp;"!$H:$H"),H$26&amp;$A82)</f>
        <v>0</v>
      </c>
    </row>
    <row r="83" spans="1:8" x14ac:dyDescent="0.2">
      <c r="A83" s="16" t="s">
        <v>23</v>
      </c>
      <c r="B83" s="14">
        <f t="shared" ref="B83:G83" ca="1" si="27">COUNTIF(INDIRECT($A$76&amp;"!$H:$H"),$A83&amp;B$26)+COUNTIF(INDIRECT($A$76&amp;"!$H:$H"),B$26&amp;$A83)</f>
        <v>0</v>
      </c>
      <c r="C83" s="14">
        <f t="shared" ca="1" si="27"/>
        <v>2</v>
      </c>
      <c r="D83" s="14">
        <f t="shared" ca="1" si="27"/>
        <v>0</v>
      </c>
      <c r="E83" s="14">
        <f t="shared" ca="1" si="27"/>
        <v>0</v>
      </c>
      <c r="F83" s="14">
        <f t="shared" ca="1" si="27"/>
        <v>0</v>
      </c>
      <c r="G83" s="14">
        <f t="shared" ca="1" si="27"/>
        <v>0</v>
      </c>
      <c r="H83" s="19"/>
    </row>
    <row r="86" spans="1:8" x14ac:dyDescent="0.2">
      <c r="A86" s="22" t="s">
        <v>116</v>
      </c>
      <c r="B86" s="18" t="s">
        <v>24</v>
      </c>
      <c r="C86" s="18" t="s">
        <v>20</v>
      </c>
      <c r="D86" s="18" t="s">
        <v>105</v>
      </c>
      <c r="E86" s="18" t="s">
        <v>25</v>
      </c>
      <c r="F86" s="18" t="s">
        <v>22</v>
      </c>
      <c r="G86" s="18" t="s">
        <v>32</v>
      </c>
      <c r="H86" s="18" t="s">
        <v>23</v>
      </c>
    </row>
    <row r="87" spans="1:8" x14ac:dyDescent="0.2">
      <c r="A87" s="16" t="s">
        <v>24</v>
      </c>
      <c r="B87" s="19"/>
      <c r="C87" s="14">
        <f t="shared" ref="C87:H87" ca="1" si="28">COUNTIF(INDIRECT($A$86&amp;"!$H:$H"),$A87&amp;C$26)+COUNTIF(INDIRECT($A$86&amp;"!$H:$H"),C$26&amp;$A87)</f>
        <v>0</v>
      </c>
      <c r="D87" s="14">
        <f t="shared" ca="1" si="28"/>
        <v>1</v>
      </c>
      <c r="E87" s="14">
        <f t="shared" ca="1" si="28"/>
        <v>0</v>
      </c>
      <c r="F87" s="14">
        <f t="shared" ca="1" si="28"/>
        <v>0</v>
      </c>
      <c r="G87" s="14">
        <f t="shared" ca="1" si="28"/>
        <v>0</v>
      </c>
      <c r="H87" s="14">
        <f t="shared" ca="1" si="28"/>
        <v>0</v>
      </c>
    </row>
    <row r="88" spans="1:8" x14ac:dyDescent="0.2">
      <c r="A88" s="17" t="s">
        <v>20</v>
      </c>
      <c r="B88" s="14">
        <f t="shared" ref="B88:B93" ca="1" si="29">COUNTIF(INDIRECT($A$86&amp;"!$H:$H"),$A88&amp;B$26)+COUNTIF(INDIRECT($A$86&amp;"!$H:$H"),B$26&amp;$A88)</f>
        <v>0</v>
      </c>
      <c r="C88" s="19"/>
      <c r="D88" s="14">
        <f ca="1">COUNTIF(INDIRECT($A$86&amp;"!$H:$H"),$A88&amp;D$26)+COUNTIF(INDIRECT($A$86&amp;"!$H:$H"),D$26&amp;$A88)</f>
        <v>1</v>
      </c>
      <c r="E88" s="14">
        <f ca="1">COUNTIF(INDIRECT($A$86&amp;"!$H:$H"),$A88&amp;E$26)+COUNTIF(INDIRECT($A$86&amp;"!$H:$H"),E$26&amp;$A88)</f>
        <v>1</v>
      </c>
      <c r="F88" s="14">
        <f ca="1">COUNTIF(INDIRECT($A$86&amp;"!$H:$H"),$A88&amp;F$26)+COUNTIF(INDIRECT($A$86&amp;"!$H:$H"),F$26&amp;$A88)</f>
        <v>0</v>
      </c>
      <c r="G88" s="14">
        <f ca="1">COUNTIF(INDIRECT($A$86&amp;"!$H:$H"),$A88&amp;G$26)+COUNTIF(INDIRECT($A$86&amp;"!$H:$H"),G$26&amp;$A88)</f>
        <v>0</v>
      </c>
      <c r="H88" s="14">
        <f ca="1">COUNTIF(INDIRECT($A$86&amp;"!$H:$H"),$A88&amp;H$26)+COUNTIF(INDIRECT($A$86&amp;"!$H:$H"),H$26&amp;$A88)</f>
        <v>0</v>
      </c>
    </row>
    <row r="89" spans="1:8" x14ac:dyDescent="0.2">
      <c r="A89" s="18" t="s">
        <v>105</v>
      </c>
      <c r="B89" s="14">
        <f t="shared" ca="1" si="29"/>
        <v>1</v>
      </c>
      <c r="C89" s="14">
        <f ca="1">COUNTIF(INDIRECT($A$86&amp;"!$H:$H"),$A89&amp;C$26)+COUNTIF(INDIRECT($A$86&amp;"!$H:$H"),C$26&amp;$A89)</f>
        <v>1</v>
      </c>
      <c r="D89" s="19"/>
      <c r="E89" s="14">
        <f ca="1">COUNTIF(INDIRECT($A$86&amp;"!$H:$H"),$A89&amp;E$26)+COUNTIF(INDIRECT($A$86&amp;"!$H:$H"),E$26&amp;$A89)</f>
        <v>1</v>
      </c>
      <c r="F89" s="14">
        <f ca="1">COUNTIF(INDIRECT($A$86&amp;"!$H:$H"),$A89&amp;F$26)+COUNTIF(INDIRECT($A$86&amp;"!$H:$H"),F$26&amp;$A89)</f>
        <v>0</v>
      </c>
      <c r="G89" s="14">
        <f ca="1">COUNTIF(INDIRECT($A$86&amp;"!$H:$H"),$A89&amp;G$26)+COUNTIF(INDIRECT($A$86&amp;"!$H:$H"),G$26&amp;$A89)</f>
        <v>0</v>
      </c>
      <c r="H89" s="14">
        <f ca="1">COUNTIF(INDIRECT($A$86&amp;"!$H:$H"),$A89&amp;H$26)+COUNTIF(INDIRECT($A$86&amp;"!$H:$H"),H$26&amp;$A89)</f>
        <v>0</v>
      </c>
    </row>
    <row r="90" spans="1:8" x14ac:dyDescent="0.2">
      <c r="A90" s="16" t="s">
        <v>25</v>
      </c>
      <c r="B90" s="14">
        <f t="shared" ca="1" si="29"/>
        <v>0</v>
      </c>
      <c r="C90" s="14">
        <f ca="1">COUNTIF(INDIRECT($A$86&amp;"!$H:$H"),$A90&amp;C$26)+COUNTIF(INDIRECT($A$86&amp;"!$H:$H"),C$26&amp;$A90)</f>
        <v>1</v>
      </c>
      <c r="D90" s="14">
        <f ca="1">COUNTIF(INDIRECT($A$86&amp;"!$H:$H"),$A90&amp;D$26)+COUNTIF(INDIRECT($A$86&amp;"!$H:$H"),D$26&amp;$A90)</f>
        <v>1</v>
      </c>
      <c r="E90" s="19"/>
      <c r="F90" s="14">
        <f ca="1">COUNTIF(INDIRECT($A$86&amp;"!$H:$H"),$A90&amp;F$26)+COUNTIF(INDIRECT($A$86&amp;"!$H:$H"),F$26&amp;$A90)</f>
        <v>0</v>
      </c>
      <c r="G90" s="14">
        <f ca="1">COUNTIF(INDIRECT($A$86&amp;"!$H:$H"),$A90&amp;G$26)+COUNTIF(INDIRECT($A$86&amp;"!$H:$H"),G$26&amp;$A90)</f>
        <v>0</v>
      </c>
      <c r="H90" s="14">
        <f ca="1">COUNTIF(INDIRECT($A$86&amp;"!$H:$H"),$A90&amp;H$26)+COUNTIF(INDIRECT($A$86&amp;"!$H:$H"),H$26&amp;$A90)</f>
        <v>0</v>
      </c>
    </row>
    <row r="91" spans="1:8" x14ac:dyDescent="0.2">
      <c r="A91" s="17" t="s">
        <v>22</v>
      </c>
      <c r="B91" s="14">
        <f t="shared" ca="1" si="29"/>
        <v>0</v>
      </c>
      <c r="C91" s="14">
        <f ca="1">COUNTIF(INDIRECT($A$86&amp;"!$H:$H"),$A91&amp;C$26)+COUNTIF(INDIRECT($A$86&amp;"!$H:$H"),C$26&amp;$A91)</f>
        <v>0</v>
      </c>
      <c r="D91" s="14">
        <f ca="1">COUNTIF(INDIRECT($A$86&amp;"!$H:$H"),$A91&amp;D$26)+COUNTIF(INDIRECT($A$86&amp;"!$H:$H"),D$26&amp;$A91)</f>
        <v>0</v>
      </c>
      <c r="E91" s="14">
        <f ca="1">COUNTIF(INDIRECT($A$86&amp;"!$H:$H"),$A91&amp;E$26)+COUNTIF(INDIRECT($A$86&amp;"!$H:$H"),E$26&amp;$A91)</f>
        <v>0</v>
      </c>
      <c r="F91" s="19"/>
      <c r="G91" s="14">
        <f ca="1">COUNTIF(INDIRECT($A$86&amp;"!$H:$H"),$A91&amp;G$26)+COUNTIF(INDIRECT($A$86&amp;"!$H:$H"),G$26&amp;$A91)</f>
        <v>0</v>
      </c>
      <c r="H91" s="14">
        <f ca="1">COUNTIF(INDIRECT($A$86&amp;"!$H:$H"),$A91&amp;H$26)+COUNTIF(INDIRECT($A$86&amp;"!$H:$H"),H$26&amp;$A91)</f>
        <v>0</v>
      </c>
    </row>
    <row r="92" spans="1:8" x14ac:dyDescent="0.2">
      <c r="A92" s="16" t="s">
        <v>32</v>
      </c>
      <c r="B92" s="14">
        <f t="shared" ca="1" si="29"/>
        <v>0</v>
      </c>
      <c r="C92" s="14">
        <f ca="1">COUNTIF(INDIRECT($A$86&amp;"!$H:$H"),$A92&amp;C$26)+COUNTIF(INDIRECT($A$86&amp;"!$H:$H"),C$26&amp;$A92)</f>
        <v>0</v>
      </c>
      <c r="D92" s="14">
        <f ca="1">COUNTIF(INDIRECT($A$86&amp;"!$H:$H"),$A92&amp;D$26)+COUNTIF(INDIRECT($A$86&amp;"!$H:$H"),D$26&amp;$A92)</f>
        <v>0</v>
      </c>
      <c r="E92" s="14">
        <f ca="1">COUNTIF(INDIRECT($A$86&amp;"!$H:$H"),$A92&amp;E$26)+COUNTIF(INDIRECT($A$86&amp;"!$H:$H"),E$26&amp;$A92)</f>
        <v>0</v>
      </c>
      <c r="F92" s="14">
        <f ca="1">COUNTIF(INDIRECT($A$86&amp;"!$H:$H"),$A92&amp;F$26)+COUNTIF(INDIRECT($A$86&amp;"!$H:$H"),F$26&amp;$A92)</f>
        <v>0</v>
      </c>
      <c r="G92" s="19"/>
      <c r="H92" s="14">
        <f ca="1">COUNTIF(INDIRECT($A$86&amp;"!$H:$H"),$A92&amp;H$26)+COUNTIF(INDIRECT($A$86&amp;"!$H:$H"),H$26&amp;$A92)</f>
        <v>0</v>
      </c>
    </row>
    <row r="93" spans="1:8" x14ac:dyDescent="0.2">
      <c r="A93" s="16" t="s">
        <v>23</v>
      </c>
      <c r="B93" s="14">
        <f t="shared" ca="1" si="29"/>
        <v>0</v>
      </c>
      <c r="C93" s="14">
        <f ca="1">COUNTIF(INDIRECT($A$86&amp;"!$H:$H"),$A93&amp;C$26)+COUNTIF(INDIRECT($A$86&amp;"!$H:$H"),C$26&amp;$A93)</f>
        <v>0</v>
      </c>
      <c r="D93" s="14">
        <f ca="1">COUNTIF(INDIRECT($A$86&amp;"!$H:$H"),$A93&amp;D$26)+COUNTIF(INDIRECT($A$86&amp;"!$H:$H"),D$26&amp;$A93)</f>
        <v>0</v>
      </c>
      <c r="E93" s="14">
        <f ca="1">COUNTIF(INDIRECT($A$86&amp;"!$H:$H"),$A93&amp;E$26)+COUNTIF(INDIRECT($A$86&amp;"!$H:$H"),E$26&amp;$A93)</f>
        <v>0</v>
      </c>
      <c r="F93" s="14">
        <f ca="1">COUNTIF(INDIRECT($A$86&amp;"!$H:$H"),$A93&amp;F$26)+COUNTIF(INDIRECT($A$86&amp;"!$H:$H"),F$26&amp;$A93)</f>
        <v>0</v>
      </c>
      <c r="G93" s="14">
        <f ca="1">COUNTIF(INDIRECT($A$86&amp;"!$H:$H"),$A93&amp;G$26)+COUNTIF(INDIRECT($A$86&amp;"!$H:$H"),G$26&amp;$A93)</f>
        <v>0</v>
      </c>
      <c r="H93" s="19"/>
    </row>
    <row r="96" spans="1:8" x14ac:dyDescent="0.2">
      <c r="A96" s="33" t="s">
        <v>117</v>
      </c>
      <c r="B96" s="18" t="s">
        <v>24</v>
      </c>
      <c r="C96" s="18" t="s">
        <v>20</v>
      </c>
      <c r="D96" s="18" t="s">
        <v>105</v>
      </c>
      <c r="E96" s="18" t="s">
        <v>25</v>
      </c>
      <c r="F96" s="18" t="s">
        <v>22</v>
      </c>
      <c r="G96" s="18" t="s">
        <v>32</v>
      </c>
      <c r="H96" s="18" t="s">
        <v>23</v>
      </c>
    </row>
    <row r="97" spans="1:8" x14ac:dyDescent="0.2">
      <c r="A97" s="16" t="s">
        <v>24</v>
      </c>
      <c r="B97" s="19"/>
      <c r="C97" s="14">
        <f t="shared" ref="C97:H97" ca="1" si="30">COUNTIF(INDIRECT($A$96&amp;"!$H:$H"),$A97&amp;C$26)+COUNTIF(INDIRECT($A$96&amp;"!$H:$H"),C$26&amp;$A97)</f>
        <v>0</v>
      </c>
      <c r="D97" s="14">
        <f t="shared" ca="1" si="30"/>
        <v>0</v>
      </c>
      <c r="E97" s="14">
        <f t="shared" ca="1" si="30"/>
        <v>0</v>
      </c>
      <c r="F97" s="14">
        <f t="shared" ca="1" si="30"/>
        <v>0</v>
      </c>
      <c r="G97" s="14">
        <f t="shared" ca="1" si="30"/>
        <v>0</v>
      </c>
      <c r="H97" s="14">
        <f t="shared" ca="1" si="30"/>
        <v>0</v>
      </c>
    </row>
    <row r="98" spans="1:8" x14ac:dyDescent="0.2">
      <c r="A98" s="17" t="s">
        <v>20</v>
      </c>
      <c r="B98" s="14">
        <f t="shared" ref="B98:B103" ca="1" si="31">COUNTIF(INDIRECT($A$96&amp;"!$H:$H"),$A98&amp;B$26)+COUNTIF(INDIRECT($A$96&amp;"!$H:$H"),B$26&amp;$A98)</f>
        <v>0</v>
      </c>
      <c r="C98" s="19"/>
      <c r="D98" s="14">
        <f ca="1">COUNTIF(INDIRECT($A$96&amp;"!$H:$H"),$A98&amp;D$26)+COUNTIF(INDIRECT($A$96&amp;"!$H:$H"),D$26&amp;$A98)</f>
        <v>0</v>
      </c>
      <c r="E98" s="14">
        <f ca="1">COUNTIF(INDIRECT($A$96&amp;"!$H:$H"),$A98&amp;E$26)+COUNTIF(INDIRECT($A$96&amp;"!$H:$H"),E$26&amp;$A98)</f>
        <v>0</v>
      </c>
      <c r="F98" s="14">
        <f ca="1">COUNTIF(INDIRECT($A$96&amp;"!$H:$H"),$A98&amp;F$26)+COUNTIF(INDIRECT($A$96&amp;"!$H:$H"),F$26&amp;$A98)</f>
        <v>0</v>
      </c>
      <c r="G98" s="14">
        <f ca="1">COUNTIF(INDIRECT($A$96&amp;"!$H:$H"),$A98&amp;G$26)+COUNTIF(INDIRECT($A$96&amp;"!$H:$H"),G$26&amp;$A98)</f>
        <v>0</v>
      </c>
      <c r="H98" s="14">
        <f ca="1">COUNTIF(INDIRECT($A$96&amp;"!$H:$H"),$A98&amp;H$26)+COUNTIF(INDIRECT($A$96&amp;"!$H:$H"),H$26&amp;$A98)</f>
        <v>0</v>
      </c>
    </row>
    <row r="99" spans="1:8" x14ac:dyDescent="0.2">
      <c r="A99" s="18" t="s">
        <v>105</v>
      </c>
      <c r="B99" s="14">
        <f t="shared" ca="1" si="31"/>
        <v>0</v>
      </c>
      <c r="C99" s="14">
        <f ca="1">COUNTIF(INDIRECT($A$96&amp;"!$H:$H"),$A99&amp;C$26)+COUNTIF(INDIRECT($A$96&amp;"!$H:$H"),C$26&amp;$A99)</f>
        <v>0</v>
      </c>
      <c r="D99" s="19"/>
      <c r="E99" s="14">
        <f ca="1">COUNTIF(INDIRECT($A$96&amp;"!$H:$H"),$A99&amp;E$26)+COUNTIF(INDIRECT($A$96&amp;"!$H:$H"),E$26&amp;$A99)</f>
        <v>0</v>
      </c>
      <c r="F99" s="14">
        <f ca="1">COUNTIF(INDIRECT($A$96&amp;"!$H:$H"),$A99&amp;F$26)+COUNTIF(INDIRECT($A$96&amp;"!$H:$H"),F$26&amp;$A99)</f>
        <v>2</v>
      </c>
      <c r="G99" s="14">
        <f ca="1">COUNTIF(INDIRECT($A$96&amp;"!$H:$H"),$A99&amp;G$26)+COUNTIF(INDIRECT($A$96&amp;"!$H:$H"),G$26&amp;$A99)</f>
        <v>0</v>
      </c>
      <c r="H99" s="14">
        <f ca="1">COUNTIF(INDIRECT($A$96&amp;"!$H:$H"),$A99&amp;H$26)+COUNTIF(INDIRECT($A$96&amp;"!$H:$H"),H$26&amp;$A99)</f>
        <v>1</v>
      </c>
    </row>
    <row r="100" spans="1:8" x14ac:dyDescent="0.2">
      <c r="A100" s="16" t="s">
        <v>25</v>
      </c>
      <c r="B100" s="14">
        <f t="shared" ca="1" si="31"/>
        <v>0</v>
      </c>
      <c r="C100" s="14">
        <f ca="1">COUNTIF(INDIRECT($A$96&amp;"!$H:$H"),$A100&amp;C$26)+COUNTIF(INDIRECT($A$96&amp;"!$H:$H"),C$26&amp;$A100)</f>
        <v>0</v>
      </c>
      <c r="D100" s="14">
        <f ca="1">COUNTIF(INDIRECT($A$96&amp;"!$H:$H"),$A100&amp;D$26)+COUNTIF(INDIRECT($A$96&amp;"!$H:$H"),D$26&amp;$A100)</f>
        <v>0</v>
      </c>
      <c r="E100" s="19"/>
      <c r="F100" s="14">
        <f ca="1">COUNTIF(INDIRECT($A$96&amp;"!$H:$H"),$A100&amp;F$26)+COUNTIF(INDIRECT($A$96&amp;"!$H:$H"),F$26&amp;$A100)</f>
        <v>0</v>
      </c>
      <c r="G100" s="14">
        <f ca="1">COUNTIF(INDIRECT($A$96&amp;"!$H:$H"),$A100&amp;G$26)+COUNTIF(INDIRECT($A$96&amp;"!$H:$H"),G$26&amp;$A100)</f>
        <v>0</v>
      </c>
      <c r="H100" s="14">
        <f ca="1">COUNTIF(INDIRECT($A$96&amp;"!$H:$H"),$A100&amp;H$26)+COUNTIF(INDIRECT($A$96&amp;"!$H:$H"),H$26&amp;$A100)</f>
        <v>0</v>
      </c>
    </row>
    <row r="101" spans="1:8" x14ac:dyDescent="0.2">
      <c r="A101" s="17" t="s">
        <v>22</v>
      </c>
      <c r="B101" s="14">
        <f t="shared" ca="1" si="31"/>
        <v>0</v>
      </c>
      <c r="C101" s="14">
        <f ca="1">COUNTIF(INDIRECT($A$96&amp;"!$H:$H"),$A101&amp;C$26)+COUNTIF(INDIRECT($A$96&amp;"!$H:$H"),C$26&amp;$A101)</f>
        <v>0</v>
      </c>
      <c r="D101" s="14">
        <f ca="1">COUNTIF(INDIRECT($A$96&amp;"!$H:$H"),$A101&amp;D$26)+COUNTIF(INDIRECT($A$96&amp;"!$H:$H"),D$26&amp;$A101)</f>
        <v>2</v>
      </c>
      <c r="E101" s="14">
        <f ca="1">COUNTIF(INDIRECT($A$96&amp;"!$H:$H"),$A101&amp;E$26)+COUNTIF(INDIRECT($A$96&amp;"!$H:$H"),E$26&amp;$A101)</f>
        <v>0</v>
      </c>
      <c r="F101" s="19"/>
      <c r="G101" s="14">
        <f ca="1">COUNTIF(INDIRECT($A$96&amp;"!$H:$H"),$A101&amp;G$26)+COUNTIF(INDIRECT($A$96&amp;"!$H:$H"),G$26&amp;$A101)</f>
        <v>0</v>
      </c>
      <c r="H101" s="14">
        <f ca="1">COUNTIF(INDIRECT($A$96&amp;"!$H:$H"),$A101&amp;H$26)+COUNTIF(INDIRECT($A$96&amp;"!$H:$H"),H$26&amp;$A101)</f>
        <v>2</v>
      </c>
    </row>
    <row r="102" spans="1:8" x14ac:dyDescent="0.2">
      <c r="A102" s="16" t="s">
        <v>32</v>
      </c>
      <c r="B102" s="14">
        <f t="shared" ca="1" si="31"/>
        <v>0</v>
      </c>
      <c r="C102" s="14">
        <f ca="1">COUNTIF(INDIRECT($A$96&amp;"!$H:$H"),$A102&amp;C$26)+COUNTIF(INDIRECT($A$96&amp;"!$H:$H"),C$26&amp;$A102)</f>
        <v>0</v>
      </c>
      <c r="D102" s="14">
        <f ca="1">COUNTIF(INDIRECT($A$96&amp;"!$H:$H"),$A102&amp;D$26)+COUNTIF(INDIRECT($A$96&amp;"!$H:$H"),D$26&amp;$A102)</f>
        <v>0</v>
      </c>
      <c r="E102" s="14">
        <f ca="1">COUNTIF(INDIRECT($A$96&amp;"!$H:$H"),$A102&amp;E$26)+COUNTIF(INDIRECT($A$96&amp;"!$H:$H"),E$26&amp;$A102)</f>
        <v>0</v>
      </c>
      <c r="F102" s="14">
        <f ca="1">COUNTIF(INDIRECT($A$96&amp;"!$H:$H"),$A102&amp;F$26)+COUNTIF(INDIRECT($A$96&amp;"!$H:$H"),F$26&amp;$A102)</f>
        <v>0</v>
      </c>
      <c r="G102" s="19"/>
      <c r="H102" s="14">
        <f ca="1">COUNTIF(INDIRECT($A$96&amp;"!$H:$H"),$A102&amp;H$26)+COUNTIF(INDIRECT($A$96&amp;"!$H:$H"),H$26&amp;$A102)</f>
        <v>0</v>
      </c>
    </row>
    <row r="103" spans="1:8" x14ac:dyDescent="0.2">
      <c r="A103" s="16" t="s">
        <v>23</v>
      </c>
      <c r="B103" s="14">
        <f t="shared" ca="1" si="31"/>
        <v>0</v>
      </c>
      <c r="C103" s="14">
        <f ca="1">COUNTIF(INDIRECT($A$96&amp;"!$H:$H"),$A103&amp;C$26)+COUNTIF(INDIRECT($A$96&amp;"!$H:$H"),C$26&amp;$A103)</f>
        <v>0</v>
      </c>
      <c r="D103" s="14">
        <f ca="1">COUNTIF(INDIRECT($A$96&amp;"!$H:$H"),$A103&amp;D$26)+COUNTIF(INDIRECT($A$96&amp;"!$H:$H"),D$26&amp;$A103)</f>
        <v>1</v>
      </c>
      <c r="E103" s="14">
        <f ca="1">COUNTIF(INDIRECT($A$96&amp;"!$H:$H"),$A103&amp;E$26)+COUNTIF(INDIRECT($A$96&amp;"!$H:$H"),E$26&amp;$A103)</f>
        <v>0</v>
      </c>
      <c r="F103" s="14">
        <f ca="1">COUNTIF(INDIRECT($A$96&amp;"!$H:$H"),$A103&amp;F$26)+COUNTIF(INDIRECT($A$96&amp;"!$H:$H"),F$26&amp;$A103)</f>
        <v>2</v>
      </c>
      <c r="G103" s="14">
        <f ca="1">COUNTIF(INDIRECT($A$96&amp;"!$H:$H"),$A103&amp;G$26)+COUNTIF(INDIRECT($A$96&amp;"!$H:$H"),G$26&amp;$A103)</f>
        <v>0</v>
      </c>
      <c r="H103" s="19"/>
    </row>
    <row r="105" spans="1:8" x14ac:dyDescent="0.2">
      <c r="A105" s="34" t="s">
        <v>137</v>
      </c>
      <c r="D105" s="35" t="s">
        <v>138</v>
      </c>
      <c r="F105" s="35" t="s">
        <v>139</v>
      </c>
      <c r="H105" s="35" t="s">
        <v>140</v>
      </c>
    </row>
    <row r="106" spans="1:8" x14ac:dyDescent="0.2">
      <c r="A106" s="36" t="s">
        <v>121</v>
      </c>
      <c r="B106" t="str">
        <f>A组積分榜!B2</f>
        <v>埃及</v>
      </c>
    </row>
    <row r="107" spans="1:8" x14ac:dyDescent="0.2">
      <c r="A107" s="37" t="s">
        <v>122</v>
      </c>
      <c r="B107" s="38" t="str">
        <f>B组積分榜!B3</f>
        <v>西班牙</v>
      </c>
      <c r="C107" s="38"/>
      <c r="D107" s="39" t="str">
        <f>IF(C106="","",IF(C106&gt;C107,B106,B107))</f>
        <v/>
      </c>
    </row>
    <row r="108" spans="1:8" x14ac:dyDescent="0.2">
      <c r="D108" s="40"/>
    </row>
    <row r="109" spans="1:8" x14ac:dyDescent="0.2">
      <c r="A109" s="36" t="s">
        <v>123</v>
      </c>
      <c r="B109" t="str">
        <f>C组積分榜!B2</f>
        <v>法国</v>
      </c>
      <c r="D109" s="41"/>
    </row>
    <row r="110" spans="1:8" x14ac:dyDescent="0.2">
      <c r="A110" s="37" t="s">
        <v>124</v>
      </c>
      <c r="B110" s="38" t="str">
        <f>D组積分榜!B3</f>
        <v>尼日利亚</v>
      </c>
      <c r="C110" s="38"/>
      <c r="D110" s="42" t="str">
        <f>IF(C109="","",IF(C109&gt;C110,B109,B110))</f>
        <v/>
      </c>
      <c r="E110" s="43"/>
      <c r="F110" s="44" t="str">
        <f>IF(E107="","",IF(E107&gt;E110,D107,D110))</f>
        <v/>
      </c>
    </row>
    <row r="111" spans="1:8" x14ac:dyDescent="0.2">
      <c r="D111" s="40"/>
      <c r="F111" s="41"/>
    </row>
    <row r="112" spans="1:8" x14ac:dyDescent="0.2">
      <c r="A112" s="36" t="s">
        <v>125</v>
      </c>
      <c r="B112" t="str">
        <f>E组積分榜!B2</f>
        <v>巴西</v>
      </c>
      <c r="D112" s="41"/>
      <c r="F112" s="41"/>
    </row>
    <row r="113" spans="1:10" x14ac:dyDescent="0.2">
      <c r="A113" s="37" t="s">
        <v>126</v>
      </c>
      <c r="B113" s="38" t="str">
        <f>F组積分榜!B3</f>
        <v>墨西哥</v>
      </c>
      <c r="C113" s="38"/>
      <c r="D113" s="42" t="str">
        <f>IF(C112="","",IF(C112&gt;C113,B112,B113))</f>
        <v/>
      </c>
      <c r="F113" s="41"/>
    </row>
    <row r="114" spans="1:10" x14ac:dyDescent="0.2">
      <c r="D114" s="40"/>
      <c r="F114" s="41"/>
    </row>
    <row r="115" spans="1:10" x14ac:dyDescent="0.2">
      <c r="A115" s="36" t="s">
        <v>127</v>
      </c>
      <c r="B115" t="str">
        <f>G组積分榜!B2</f>
        <v>突尼斯</v>
      </c>
      <c r="D115" s="41"/>
      <c r="F115" s="41"/>
    </row>
    <row r="116" spans="1:10" x14ac:dyDescent="0.2">
      <c r="A116" s="37" t="s">
        <v>128</v>
      </c>
      <c r="B116" s="38" t="str">
        <f>H组積分榜!B3</f>
        <v>哥伦比亚</v>
      </c>
      <c r="C116" s="38"/>
      <c r="D116" s="42" t="str">
        <f>IF(C115="","",IF(C115&gt;C116,B115,B116))</f>
        <v/>
      </c>
      <c r="E116" s="43"/>
      <c r="F116" s="47" t="str">
        <f>IF(E113="","",IF(E113&gt;E116,D113,D116))</f>
        <v/>
      </c>
      <c r="G116" s="38"/>
      <c r="H116" s="46" t="str">
        <f>IF(G110="","",IF(G110&gt;G116,F110,F116))</f>
        <v/>
      </c>
    </row>
    <row r="117" spans="1:10" x14ac:dyDescent="0.2">
      <c r="D117" s="40"/>
      <c r="F117" s="41"/>
      <c r="H117" s="41"/>
    </row>
    <row r="118" spans="1:10" x14ac:dyDescent="0.2">
      <c r="A118" s="36" t="s">
        <v>129</v>
      </c>
      <c r="B118" t="str">
        <f>B组積分榜!B2</f>
        <v>葡萄牙</v>
      </c>
      <c r="D118" s="41"/>
      <c r="F118" s="41"/>
      <c r="H118" s="41"/>
    </row>
    <row r="119" spans="1:10" x14ac:dyDescent="0.2">
      <c r="A119" s="37" t="s">
        <v>130</v>
      </c>
      <c r="B119" s="38" t="str">
        <f>A组積分榜!B3</f>
        <v>俄罗斯</v>
      </c>
      <c r="C119" s="38"/>
      <c r="D119" s="42" t="str">
        <f>IF(C118="","",IF(C118&gt;C119,B118,B119))</f>
        <v/>
      </c>
      <c r="F119" s="41"/>
      <c r="H119" s="41"/>
    </row>
    <row r="120" spans="1:10" x14ac:dyDescent="0.2">
      <c r="D120" s="40"/>
      <c r="F120" s="41"/>
      <c r="H120" s="41"/>
    </row>
    <row r="121" spans="1:10" x14ac:dyDescent="0.2">
      <c r="A121" s="36" t="s">
        <v>131</v>
      </c>
      <c r="B121" t="str">
        <f>D组積分榜!B2</f>
        <v>克罗地亚</v>
      </c>
      <c r="D121" s="41"/>
      <c r="F121" s="41"/>
      <c r="H121" s="41"/>
    </row>
    <row r="122" spans="1:10" x14ac:dyDescent="0.2">
      <c r="A122" s="37" t="s">
        <v>132</v>
      </c>
      <c r="B122" s="38" t="str">
        <f>C组積分榜!B3</f>
        <v>秘鲁</v>
      </c>
      <c r="C122" s="38"/>
      <c r="D122" s="42" t="str">
        <f>IF(C121="","",IF(C121&gt;C122,B121,B122))</f>
        <v/>
      </c>
      <c r="E122" s="43"/>
      <c r="F122" s="47" t="str">
        <f>IF(E119="","",IF(E119&gt;E122,D119,D122))</f>
        <v/>
      </c>
      <c r="H122" s="41"/>
    </row>
    <row r="123" spans="1:10" x14ac:dyDescent="0.2">
      <c r="D123" s="40"/>
      <c r="F123" s="41"/>
      <c r="H123" s="41"/>
    </row>
    <row r="124" spans="1:10" x14ac:dyDescent="0.2">
      <c r="A124" s="36" t="s">
        <v>133</v>
      </c>
      <c r="B124" t="str">
        <f>F组積分榜!B2</f>
        <v>瑞典</v>
      </c>
      <c r="D124" s="41"/>
      <c r="F124" s="41"/>
      <c r="H124" s="41"/>
    </row>
    <row r="125" spans="1:10" x14ac:dyDescent="0.2">
      <c r="A125" s="37" t="s">
        <v>134</v>
      </c>
      <c r="B125" s="38" t="str">
        <f>E组積分榜!B3</f>
        <v>瑞士</v>
      </c>
      <c r="C125" s="38"/>
      <c r="D125" s="42" t="str">
        <f>IF(C124="","",IF(C124&gt;C125,B124,B125))</f>
        <v/>
      </c>
      <c r="F125" s="41"/>
      <c r="H125" s="41"/>
    </row>
    <row r="126" spans="1:10" x14ac:dyDescent="0.2">
      <c r="D126" s="40"/>
      <c r="F126" s="41"/>
      <c r="H126" s="41"/>
    </row>
    <row r="127" spans="1:10" x14ac:dyDescent="0.2">
      <c r="A127" s="36" t="s">
        <v>135</v>
      </c>
      <c r="B127" t="str">
        <f>H组積分榜!B2</f>
        <v>日本</v>
      </c>
      <c r="D127" s="41"/>
      <c r="F127" s="41"/>
      <c r="H127" s="41"/>
    </row>
    <row r="128" spans="1:10" x14ac:dyDescent="0.2">
      <c r="A128" s="37" t="s">
        <v>136</v>
      </c>
      <c r="B128" s="38" t="str">
        <f>G组積分榜!B3</f>
        <v>巴拿马</v>
      </c>
      <c r="C128" s="38"/>
      <c r="D128" s="42" t="str">
        <f>IF(C127="","",IF(C127&gt;C128,B127,B128))</f>
        <v/>
      </c>
      <c r="E128" s="43"/>
      <c r="F128" s="47" t="str">
        <f>IF(E125="","",IF(E125&gt;E128,D125,D128))</f>
        <v/>
      </c>
      <c r="G128" s="38"/>
      <c r="H128" s="46" t="str">
        <f>IF(G122="","",IF(G122&gt;G128,F122,F128))</f>
        <v/>
      </c>
      <c r="I128" s="38"/>
      <c r="J128" s="45" t="str">
        <f>IF(I116="","",IF(I116&gt;I128,H116,H128))</f>
        <v/>
      </c>
    </row>
  </sheetData>
  <phoneticPr fontId="1"/>
  <conditionalFormatting sqref="B17:H23">
    <cfRule type="colorScale" priority="5">
      <colorScale>
        <cfvo type="num" val="0"/>
        <cfvo type="num" val="6"/>
        <color theme="0"/>
        <color rgb="FFFF0000"/>
      </colorScale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/>
  <dimension ref="A1:M22"/>
  <sheetViews>
    <sheetView workbookViewId="0">
      <selection activeCell="L5" sqref="L1:L5"/>
    </sheetView>
  </sheetViews>
  <sheetFormatPr baseColWidth="10" defaultColWidth="8.83203125" defaultRowHeight="15" x14ac:dyDescent="0.2"/>
  <cols>
    <col min="1" max="1" width="7.1640625" bestFit="1" customWidth="1"/>
    <col min="2" max="2" width="13" bestFit="1" customWidth="1"/>
    <col min="3" max="6" width="3.33203125" bestFit="1" customWidth="1"/>
    <col min="7" max="8" width="3.5" bestFit="1" customWidth="1"/>
    <col min="9" max="9" width="4.6640625" customWidth="1"/>
    <col min="10" max="10" width="5.1640625" bestFit="1" customWidth="1"/>
    <col min="11" max="11" width="6.1640625" style="12" customWidth="1"/>
    <col min="12" max="12" width="4.6640625" customWidth="1"/>
    <col min="13" max="13" width="7.1640625" bestFit="1" customWidth="1"/>
  </cols>
  <sheetData>
    <row r="1" spans="1:13" x14ac:dyDescent="0.2">
      <c r="A1" s="30" t="s">
        <v>1</v>
      </c>
      <c r="B1" s="31" t="s">
        <v>0</v>
      </c>
      <c r="C1" s="31" t="s">
        <v>19</v>
      </c>
      <c r="D1" s="32" t="s">
        <v>12</v>
      </c>
      <c r="E1" s="31" t="s">
        <v>13</v>
      </c>
      <c r="F1" s="31" t="s">
        <v>14</v>
      </c>
      <c r="G1" s="31" t="s">
        <v>17</v>
      </c>
      <c r="H1" s="31" t="s">
        <v>15</v>
      </c>
      <c r="I1" s="31" t="s">
        <v>16</v>
      </c>
      <c r="J1" s="31" t="s">
        <v>18</v>
      </c>
      <c r="K1" s="13">
        <v>0</v>
      </c>
      <c r="L1" s="10" t="s">
        <v>29</v>
      </c>
      <c r="M1" s="11"/>
    </row>
    <row r="2" spans="1:13" x14ac:dyDescent="0.2">
      <c r="A2" s="3">
        <v>1</v>
      </c>
      <c r="B2" s="2" t="s">
        <v>153</v>
      </c>
      <c r="C2" s="2">
        <v>3</v>
      </c>
      <c r="D2" s="2">
        <v>2</v>
      </c>
      <c r="E2" s="2">
        <v>0</v>
      </c>
      <c r="F2" s="2">
        <v>1</v>
      </c>
      <c r="G2" s="2">
        <v>7</v>
      </c>
      <c r="H2" s="2">
        <v>3</v>
      </c>
      <c r="I2" s="2">
        <v>4</v>
      </c>
      <c r="J2" s="9">
        <v>6</v>
      </c>
      <c r="K2" s="12" t="str">
        <f t="shared" ref="K2:K4" si="0">IF(COUNTIF(L$2:L$15,"&lt;"&amp;$J2)=COUNTA(A$2:A$15)-1,"锁一",
 IF(COUNTIF(L$2:L$15,"&lt;"&amp;$J2)=COUNTA(A$2:A$15)-2,"锁二",
 IF(COUNTIF(L$2:L$15,"&lt;"&amp;$J2)=COUNTA(A$2:A$15)-3,"锁三",IF(COUNTIF(J$2:J$15,"&gt;"&amp;$L2)&gt;=COUNTA(A$2:A$15)-$K$1,"降决",""))))</f>
        <v>锁三</v>
      </c>
      <c r="L2" s="11">
        <f>((COUNTA(A$2:A$15)-1)-C2)*3+J2</f>
        <v>6</v>
      </c>
      <c r="M2" s="11"/>
    </row>
    <row r="3" spans="1:13" x14ac:dyDescent="0.2">
      <c r="A3" s="3">
        <v>2</v>
      </c>
      <c r="B3" s="2" t="s">
        <v>154</v>
      </c>
      <c r="C3" s="2">
        <v>2</v>
      </c>
      <c r="D3" s="2">
        <v>1</v>
      </c>
      <c r="E3" s="2">
        <v>1</v>
      </c>
      <c r="F3" s="2">
        <v>0</v>
      </c>
      <c r="G3" s="2">
        <v>3</v>
      </c>
      <c r="H3" s="2">
        <v>2</v>
      </c>
      <c r="I3" s="2">
        <v>1</v>
      </c>
      <c r="J3" s="2">
        <v>4</v>
      </c>
      <c r="K3" s="12" t="str">
        <f t="shared" si="0"/>
        <v/>
      </c>
      <c r="L3" s="11">
        <f t="shared" ref="L3:L5" si="1">((COUNTA(A$2:A$15)-1)-C3)*3+J3</f>
        <v>7</v>
      </c>
      <c r="M3" s="11"/>
    </row>
    <row r="4" spans="1:13" x14ac:dyDescent="0.2">
      <c r="A4" s="3">
        <v>3</v>
      </c>
      <c r="B4" s="2" t="s">
        <v>155</v>
      </c>
      <c r="C4" s="2">
        <v>2</v>
      </c>
      <c r="D4" s="2">
        <v>0</v>
      </c>
      <c r="E4" s="2">
        <v>1</v>
      </c>
      <c r="F4" s="2">
        <v>1</v>
      </c>
      <c r="G4" s="2">
        <v>1</v>
      </c>
      <c r="H4" s="2">
        <v>4</v>
      </c>
      <c r="I4" s="2">
        <v>-3</v>
      </c>
      <c r="J4" s="2">
        <v>1</v>
      </c>
      <c r="K4" s="12" t="str">
        <f t="shared" si="0"/>
        <v/>
      </c>
      <c r="L4" s="11">
        <f t="shared" si="1"/>
        <v>4</v>
      </c>
      <c r="M4" s="11"/>
    </row>
    <row r="5" spans="1:13" x14ac:dyDescent="0.2">
      <c r="A5" s="3">
        <v>4</v>
      </c>
      <c r="B5" s="2" t="s">
        <v>156</v>
      </c>
      <c r="C5" s="2">
        <v>1</v>
      </c>
      <c r="D5" s="2">
        <v>0</v>
      </c>
      <c r="E5" s="2">
        <v>0</v>
      </c>
      <c r="F5" s="2">
        <v>1</v>
      </c>
      <c r="G5" s="2">
        <v>1</v>
      </c>
      <c r="H5" s="2">
        <v>3</v>
      </c>
      <c r="I5" s="2">
        <v>-2</v>
      </c>
      <c r="J5" s="2">
        <v>0</v>
      </c>
      <c r="K5" s="12" t="str">
        <f>IF(COUNTIF(L$2:L$15,"&lt;"&amp;$J5)=COUNTA(A$2:A$15)-1,"锁一",
 IF(COUNTIF(L$2:L$15,"&lt;"&amp;$J5)=COUNTA(A$2:A$15)-2,"锁二",
 IF(COUNTIF(L$2:L$15,"&lt;"&amp;$J5)=COUNTA(A$2:A$15)-3,"锁三",IF(COUNTIF(J$2:J$15,"&gt;"&amp;$L5)&gt;=COUNTA(A$2:A$15)-$K$1,"降决",""))))</f>
        <v/>
      </c>
      <c r="L5" s="11">
        <f t="shared" si="1"/>
        <v>6</v>
      </c>
      <c r="M5" s="11"/>
    </row>
    <row r="6" spans="1:13" x14ac:dyDescent="0.2">
      <c r="L6" s="11"/>
      <c r="M6" s="11"/>
    </row>
    <row r="7" spans="1:13" x14ac:dyDescent="0.2">
      <c r="L7" s="11"/>
      <c r="M7" s="11"/>
    </row>
    <row r="8" spans="1:13" x14ac:dyDescent="0.2">
      <c r="L8" s="11"/>
      <c r="M8" s="11"/>
    </row>
    <row r="12" spans="1:13" x14ac:dyDescent="0.2">
      <c r="A12" s="8"/>
      <c r="C12" s="8"/>
      <c r="E12" s="8"/>
      <c r="G12" s="8"/>
      <c r="I12" s="8"/>
    </row>
    <row r="20" spans="1:3" x14ac:dyDescent="0.2">
      <c r="A20" s="6" t="s">
        <v>3</v>
      </c>
      <c r="B20">
        <v>0</v>
      </c>
      <c r="C20" s="1" t="s">
        <v>6</v>
      </c>
    </row>
    <row r="21" spans="1:3" x14ac:dyDescent="0.2">
      <c r="A21" s="7" t="s">
        <v>4</v>
      </c>
      <c r="B21">
        <v>4</v>
      </c>
      <c r="C21" t="s">
        <v>7</v>
      </c>
    </row>
    <row r="22" spans="1:3" x14ac:dyDescent="0.2">
      <c r="A22" s="7" t="s">
        <v>5</v>
      </c>
      <c r="B22">
        <v>1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ranking">
                <anchor moveWithCells="1" sizeWithCells="1">
                  <from>
                    <xdr:col>13</xdr:col>
                    <xdr:colOff>431800</xdr:colOff>
                    <xdr:row>4</xdr:row>
                    <xdr:rowOff>139700</xdr:rowOff>
                  </from>
                  <to>
                    <xdr:col>15</xdr:col>
                    <xdr:colOff>863600</xdr:colOff>
                    <xdr:row>9</xdr:row>
                    <xdr:rowOff>50800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M22"/>
  <sheetViews>
    <sheetView workbookViewId="0">
      <selection activeCell="L5" sqref="L1:L5"/>
    </sheetView>
  </sheetViews>
  <sheetFormatPr baseColWidth="10" defaultColWidth="8.83203125" defaultRowHeight="15" x14ac:dyDescent="0.2"/>
  <cols>
    <col min="1" max="1" width="7.1640625" bestFit="1" customWidth="1"/>
    <col min="2" max="2" width="13" bestFit="1" customWidth="1"/>
    <col min="3" max="6" width="3.33203125" bestFit="1" customWidth="1"/>
    <col min="7" max="8" width="3.5" bestFit="1" customWidth="1"/>
    <col min="9" max="9" width="4.6640625" customWidth="1"/>
    <col min="10" max="10" width="5.1640625" bestFit="1" customWidth="1"/>
    <col min="11" max="11" width="6.1640625" style="12" customWidth="1"/>
    <col min="12" max="12" width="4.6640625" customWidth="1"/>
    <col min="13" max="13" width="7.1640625" bestFit="1" customWidth="1"/>
  </cols>
  <sheetData>
    <row r="1" spans="1:13" x14ac:dyDescent="0.2">
      <c r="A1" s="30" t="s">
        <v>1</v>
      </c>
      <c r="B1" s="31" t="s">
        <v>0</v>
      </c>
      <c r="C1" s="31" t="s">
        <v>19</v>
      </c>
      <c r="D1" s="32" t="s">
        <v>12</v>
      </c>
      <c r="E1" s="31" t="s">
        <v>13</v>
      </c>
      <c r="F1" s="31" t="s">
        <v>14</v>
      </c>
      <c r="G1" s="31" t="s">
        <v>17</v>
      </c>
      <c r="H1" s="31" t="s">
        <v>15</v>
      </c>
      <c r="I1" s="31" t="s">
        <v>16</v>
      </c>
      <c r="J1" s="31" t="s">
        <v>18</v>
      </c>
      <c r="K1" s="13">
        <v>0</v>
      </c>
      <c r="L1" s="10" t="s">
        <v>29</v>
      </c>
      <c r="M1" s="11"/>
    </row>
    <row r="2" spans="1:13" x14ac:dyDescent="0.2">
      <c r="A2" s="3">
        <v>1</v>
      </c>
      <c r="B2" s="2" t="s">
        <v>157</v>
      </c>
      <c r="C2" s="2">
        <v>1</v>
      </c>
      <c r="D2" s="2">
        <v>1</v>
      </c>
      <c r="E2" s="2">
        <v>0</v>
      </c>
      <c r="F2" s="2">
        <v>0</v>
      </c>
      <c r="G2" s="2">
        <v>1</v>
      </c>
      <c r="H2" s="2">
        <v>0</v>
      </c>
      <c r="I2" s="2">
        <v>1</v>
      </c>
      <c r="J2" s="9">
        <v>3</v>
      </c>
      <c r="K2" s="12" t="str">
        <f t="shared" ref="K2:K4" si="0">IF(COUNTIF(L$2:L$15,"&lt;"&amp;$J2)=COUNTA(A$2:A$15)-1,"锁一",
 IF(COUNTIF(L$2:L$15,"&lt;"&amp;$J2)=COUNTA(A$2:A$15)-2,"锁二",
 IF(COUNTIF(L$2:L$15,"&lt;"&amp;$J2)=COUNTA(A$2:A$15)-3,"锁三",IF(COUNTIF(J$2:J$15,"&gt;"&amp;$L2)&gt;=COUNTA(A$2:A$15)-$K$1,"降决",""))))</f>
        <v/>
      </c>
      <c r="L2" s="11">
        <f>((COUNTA(A$2:A$15)-1)-C2)*3+J2</f>
        <v>9</v>
      </c>
      <c r="M2" s="11"/>
    </row>
    <row r="3" spans="1:13" x14ac:dyDescent="0.2">
      <c r="A3" s="3">
        <v>2</v>
      </c>
      <c r="B3" s="2" t="s">
        <v>158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12" t="str">
        <f t="shared" si="0"/>
        <v/>
      </c>
      <c r="L3" s="11">
        <f t="shared" ref="L3:L5" si="1">((COUNTA(A$2:A$15)-1)-C3)*3+J3</f>
        <v>9</v>
      </c>
      <c r="M3" s="11"/>
    </row>
    <row r="4" spans="1:13" x14ac:dyDescent="0.2">
      <c r="A4" s="3">
        <v>3</v>
      </c>
      <c r="B4" s="2" t="s">
        <v>159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12" t="str">
        <f t="shared" si="0"/>
        <v/>
      </c>
      <c r="L4" s="11">
        <f t="shared" si="1"/>
        <v>9</v>
      </c>
      <c r="M4" s="11"/>
    </row>
    <row r="5" spans="1:13" x14ac:dyDescent="0.2">
      <c r="A5" s="3">
        <v>4</v>
      </c>
      <c r="B5" s="2" t="s">
        <v>160</v>
      </c>
      <c r="C5" s="2">
        <v>1</v>
      </c>
      <c r="D5" s="2">
        <v>0</v>
      </c>
      <c r="E5" s="2">
        <v>0</v>
      </c>
      <c r="F5" s="2">
        <v>1</v>
      </c>
      <c r="G5" s="2">
        <v>0</v>
      </c>
      <c r="H5" s="2">
        <v>1</v>
      </c>
      <c r="I5" s="2">
        <v>-1</v>
      </c>
      <c r="J5" s="2">
        <v>0</v>
      </c>
      <c r="K5" s="12" t="str">
        <f>IF(COUNTIF(L$2:L$15,"&lt;"&amp;$J5)=COUNTA(A$2:A$15)-1,"锁一",
 IF(COUNTIF(L$2:L$15,"&lt;"&amp;$J5)=COUNTA(A$2:A$15)-2,"锁二",
 IF(COUNTIF(L$2:L$15,"&lt;"&amp;$J5)=COUNTA(A$2:A$15)-3,"锁三",IF(COUNTIF(J$2:J$15,"&gt;"&amp;$L5)&gt;=COUNTA(A$2:A$15)-$K$1,"降决",""))))</f>
        <v/>
      </c>
      <c r="L5" s="11">
        <f t="shared" si="1"/>
        <v>6</v>
      </c>
      <c r="M5" s="11"/>
    </row>
    <row r="6" spans="1:13" x14ac:dyDescent="0.2">
      <c r="L6" s="11"/>
      <c r="M6" s="11"/>
    </row>
    <row r="7" spans="1:13" x14ac:dyDescent="0.2">
      <c r="L7" s="11"/>
      <c r="M7" s="11"/>
    </row>
    <row r="8" spans="1:13" x14ac:dyDescent="0.2">
      <c r="L8" s="11"/>
      <c r="M8" s="11"/>
    </row>
    <row r="12" spans="1:13" x14ac:dyDescent="0.2">
      <c r="A12" s="8"/>
      <c r="C12" s="8"/>
      <c r="E12" s="8"/>
      <c r="G12" s="8"/>
      <c r="I12" s="8"/>
    </row>
    <row r="20" spans="1:3" x14ac:dyDescent="0.2">
      <c r="A20" s="6" t="s">
        <v>3</v>
      </c>
      <c r="B20">
        <v>0</v>
      </c>
      <c r="C20" s="1" t="s">
        <v>6</v>
      </c>
    </row>
    <row r="21" spans="1:3" x14ac:dyDescent="0.2">
      <c r="A21" s="7" t="s">
        <v>4</v>
      </c>
      <c r="B21">
        <v>4</v>
      </c>
      <c r="C21" t="s">
        <v>7</v>
      </c>
    </row>
    <row r="22" spans="1:3" x14ac:dyDescent="0.2">
      <c r="A22" s="7" t="s">
        <v>5</v>
      </c>
      <c r="B22">
        <v>1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anking">
                <anchor moveWithCells="1" sizeWithCells="1">
                  <from>
                    <xdr:col>13</xdr:col>
                    <xdr:colOff>431800</xdr:colOff>
                    <xdr:row>4</xdr:row>
                    <xdr:rowOff>139700</xdr:rowOff>
                  </from>
                  <to>
                    <xdr:col>15</xdr:col>
                    <xdr:colOff>863600</xdr:colOff>
                    <xdr:row>9</xdr:row>
                    <xdr:rowOff>50800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/>
  <dimension ref="A1:M22"/>
  <sheetViews>
    <sheetView workbookViewId="0">
      <selection activeCell="L5" sqref="L1:L5"/>
    </sheetView>
  </sheetViews>
  <sheetFormatPr baseColWidth="10" defaultColWidth="8.83203125" defaultRowHeight="15" x14ac:dyDescent="0.2"/>
  <cols>
    <col min="1" max="1" width="7.1640625" bestFit="1" customWidth="1"/>
    <col min="2" max="2" width="13" bestFit="1" customWidth="1"/>
    <col min="3" max="6" width="3.33203125" bestFit="1" customWidth="1"/>
    <col min="7" max="8" width="3.5" bestFit="1" customWidth="1"/>
    <col min="9" max="9" width="4.6640625" customWidth="1"/>
    <col min="10" max="10" width="5.1640625" bestFit="1" customWidth="1"/>
    <col min="11" max="11" width="6.1640625" style="12" customWidth="1"/>
    <col min="12" max="12" width="4.6640625" customWidth="1"/>
    <col min="13" max="13" width="7.1640625" bestFit="1" customWidth="1"/>
  </cols>
  <sheetData>
    <row r="1" spans="1:13" x14ac:dyDescent="0.2">
      <c r="A1" s="30" t="s">
        <v>1</v>
      </c>
      <c r="B1" s="31" t="s">
        <v>0</v>
      </c>
      <c r="C1" s="31" t="s">
        <v>19</v>
      </c>
      <c r="D1" s="32" t="s">
        <v>12</v>
      </c>
      <c r="E1" s="31" t="s">
        <v>13</v>
      </c>
      <c r="F1" s="31" t="s">
        <v>14</v>
      </c>
      <c r="G1" s="31" t="s">
        <v>17</v>
      </c>
      <c r="H1" s="31" t="s">
        <v>15</v>
      </c>
      <c r="I1" s="31" t="s">
        <v>16</v>
      </c>
      <c r="J1" s="31" t="s">
        <v>18</v>
      </c>
      <c r="K1" s="13">
        <v>0</v>
      </c>
      <c r="L1" s="10" t="s">
        <v>29</v>
      </c>
      <c r="M1" s="11"/>
    </row>
    <row r="2" spans="1:13" x14ac:dyDescent="0.2">
      <c r="A2" s="3">
        <v>1</v>
      </c>
      <c r="B2" s="2" t="s">
        <v>169</v>
      </c>
      <c r="C2" s="2">
        <v>2</v>
      </c>
      <c r="D2" s="2">
        <v>1</v>
      </c>
      <c r="E2" s="2">
        <v>1</v>
      </c>
      <c r="F2" s="2">
        <v>0</v>
      </c>
      <c r="G2" s="2">
        <v>3</v>
      </c>
      <c r="H2" s="2">
        <v>2</v>
      </c>
      <c r="I2" s="2">
        <v>1</v>
      </c>
      <c r="J2" s="9">
        <v>4</v>
      </c>
      <c r="K2" s="12" t="str">
        <f t="shared" ref="K2:K4" si="0">IF(COUNTIF(L$2:L$15,"&lt;"&amp;$J2)=COUNTA(A$2:A$15)-1,"锁一",
 IF(COUNTIF(L$2:L$15,"&lt;"&amp;$J2)=COUNTA(A$2:A$15)-2,"锁二",
 IF(COUNTIF(L$2:L$15,"&lt;"&amp;$J2)=COUNTA(A$2:A$15)-3,"锁三",IF(COUNTIF(J$2:J$15,"&gt;"&amp;$L2)&gt;=COUNTA(A$2:A$15)-$K$1,"降决",""))))</f>
        <v/>
      </c>
      <c r="L2" s="11">
        <f>((COUNTA(A$2:A$15)-1)-C2)*3+J2</f>
        <v>7</v>
      </c>
      <c r="M2" s="11"/>
    </row>
    <row r="3" spans="1:13" x14ac:dyDescent="0.2">
      <c r="A3" s="3">
        <v>2</v>
      </c>
      <c r="B3" s="2" t="s">
        <v>170</v>
      </c>
      <c r="C3" s="2">
        <v>3</v>
      </c>
      <c r="D3" s="2">
        <v>1</v>
      </c>
      <c r="E3" s="2">
        <v>1</v>
      </c>
      <c r="F3" s="2">
        <v>1</v>
      </c>
      <c r="G3" s="2">
        <v>4</v>
      </c>
      <c r="H3" s="2">
        <v>4</v>
      </c>
      <c r="I3" s="2">
        <v>0</v>
      </c>
      <c r="J3" s="2">
        <v>4</v>
      </c>
      <c r="K3" s="12" t="str">
        <f t="shared" si="0"/>
        <v/>
      </c>
      <c r="L3" s="11">
        <f t="shared" ref="L3:L5" si="1">((COUNTA(A$2:A$15)-1)-C3)*3+J3</f>
        <v>4</v>
      </c>
      <c r="M3" s="11"/>
    </row>
    <row r="4" spans="1:13" x14ac:dyDescent="0.2">
      <c r="A4" s="3">
        <v>3</v>
      </c>
      <c r="B4" s="2" t="s">
        <v>171</v>
      </c>
      <c r="C4" s="2">
        <v>2</v>
      </c>
      <c r="D4" s="2">
        <v>0</v>
      </c>
      <c r="E4" s="2">
        <v>2</v>
      </c>
      <c r="F4" s="2">
        <v>0</v>
      </c>
      <c r="G4" s="2">
        <v>4</v>
      </c>
      <c r="H4" s="2">
        <v>4</v>
      </c>
      <c r="I4" s="2">
        <v>0</v>
      </c>
      <c r="J4" s="2">
        <v>2</v>
      </c>
      <c r="K4" s="12" t="str">
        <f t="shared" si="0"/>
        <v/>
      </c>
      <c r="L4" s="11">
        <f t="shared" si="1"/>
        <v>5</v>
      </c>
      <c r="M4" s="11"/>
    </row>
    <row r="5" spans="1:13" x14ac:dyDescent="0.2">
      <c r="A5" s="3">
        <v>4</v>
      </c>
      <c r="B5" s="2" t="s">
        <v>172</v>
      </c>
      <c r="C5" s="2">
        <v>1</v>
      </c>
      <c r="D5" s="2">
        <v>0</v>
      </c>
      <c r="E5" s="2">
        <v>0</v>
      </c>
      <c r="F5" s="2">
        <v>1</v>
      </c>
      <c r="G5" s="2">
        <v>1</v>
      </c>
      <c r="H5" s="2">
        <v>2</v>
      </c>
      <c r="I5" s="2">
        <v>-1</v>
      </c>
      <c r="J5" s="2">
        <v>0</v>
      </c>
      <c r="K5" s="12" t="str">
        <f>IF(COUNTIF(L$2:L$15,"&lt;"&amp;$J5)=COUNTA(A$2:A$15)-1,"锁一",
 IF(COUNTIF(L$2:L$15,"&lt;"&amp;$J5)=COUNTA(A$2:A$15)-2,"锁二",
 IF(COUNTIF(L$2:L$15,"&lt;"&amp;$J5)=COUNTA(A$2:A$15)-3,"锁三",IF(COUNTIF(J$2:J$15,"&gt;"&amp;$L5)&gt;=COUNTA(A$2:A$15)-$K$1,"降决",""))))</f>
        <v/>
      </c>
      <c r="L5" s="11">
        <f t="shared" si="1"/>
        <v>6</v>
      </c>
      <c r="M5" s="11"/>
    </row>
    <row r="6" spans="1:13" x14ac:dyDescent="0.2">
      <c r="L6" s="11"/>
      <c r="M6" s="11"/>
    </row>
    <row r="7" spans="1:13" x14ac:dyDescent="0.2">
      <c r="L7" s="11"/>
      <c r="M7" s="11"/>
    </row>
    <row r="8" spans="1:13" x14ac:dyDescent="0.2">
      <c r="L8" s="11"/>
      <c r="M8" s="11"/>
    </row>
    <row r="12" spans="1:13" x14ac:dyDescent="0.2">
      <c r="A12" s="8"/>
      <c r="C12" s="8"/>
      <c r="E12" s="8"/>
      <c r="G12" s="8"/>
      <c r="I12" s="8"/>
    </row>
    <row r="20" spans="1:3" x14ac:dyDescent="0.2">
      <c r="A20" s="6" t="s">
        <v>3</v>
      </c>
      <c r="B20">
        <v>0</v>
      </c>
      <c r="C20" s="1" t="s">
        <v>6</v>
      </c>
    </row>
    <row r="21" spans="1:3" x14ac:dyDescent="0.2">
      <c r="A21" s="7" t="s">
        <v>4</v>
      </c>
      <c r="B21">
        <v>4</v>
      </c>
      <c r="C21" t="s">
        <v>7</v>
      </c>
    </row>
    <row r="22" spans="1:3" x14ac:dyDescent="0.2">
      <c r="A22" s="7" t="s">
        <v>5</v>
      </c>
      <c r="B22">
        <v>1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ranking">
                <anchor moveWithCells="1" sizeWithCells="1">
                  <from>
                    <xdr:col>13</xdr:col>
                    <xdr:colOff>431800</xdr:colOff>
                    <xdr:row>4</xdr:row>
                    <xdr:rowOff>139700</xdr:rowOff>
                  </from>
                  <to>
                    <xdr:col>15</xdr:col>
                    <xdr:colOff>863600</xdr:colOff>
                    <xdr:row>9</xdr:row>
                    <xdr:rowOff>50800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 enableFormatConditionsCalculation="0"/>
  <dimension ref="A1:M22"/>
  <sheetViews>
    <sheetView workbookViewId="0">
      <selection activeCell="L5" sqref="L1:L5"/>
    </sheetView>
  </sheetViews>
  <sheetFormatPr baseColWidth="10" defaultColWidth="8.83203125" defaultRowHeight="15" x14ac:dyDescent="0.2"/>
  <cols>
    <col min="1" max="1" width="7.1640625" bestFit="1" customWidth="1"/>
    <col min="2" max="2" width="13" bestFit="1" customWidth="1"/>
    <col min="3" max="6" width="3.33203125" bestFit="1" customWidth="1"/>
    <col min="7" max="8" width="3.5" bestFit="1" customWidth="1"/>
    <col min="9" max="9" width="4.6640625" customWidth="1"/>
    <col min="10" max="10" width="5.1640625" bestFit="1" customWidth="1"/>
    <col min="11" max="11" width="6.1640625" style="12" customWidth="1"/>
    <col min="12" max="12" width="4.6640625" customWidth="1"/>
    <col min="13" max="13" width="7.1640625" bestFit="1" customWidth="1"/>
  </cols>
  <sheetData>
    <row r="1" spans="1:13" x14ac:dyDescent="0.2">
      <c r="A1" s="30" t="s">
        <v>1</v>
      </c>
      <c r="B1" s="31" t="s">
        <v>0</v>
      </c>
      <c r="C1" s="31" t="s">
        <v>19</v>
      </c>
      <c r="D1" s="32" t="s">
        <v>12</v>
      </c>
      <c r="E1" s="31" t="s">
        <v>13</v>
      </c>
      <c r="F1" s="31" t="s">
        <v>14</v>
      </c>
      <c r="G1" s="31" t="s">
        <v>17</v>
      </c>
      <c r="H1" s="31" t="s">
        <v>15</v>
      </c>
      <c r="I1" s="31" t="s">
        <v>16</v>
      </c>
      <c r="J1" s="31" t="s">
        <v>18</v>
      </c>
      <c r="K1" s="13">
        <v>0</v>
      </c>
      <c r="L1" s="50" t="s">
        <v>173</v>
      </c>
      <c r="M1" s="11"/>
    </row>
    <row r="2" spans="1:13" x14ac:dyDescent="0.2">
      <c r="A2" s="3">
        <v>1</v>
      </c>
      <c r="B2" s="2" t="s">
        <v>141</v>
      </c>
      <c r="C2" s="2">
        <v>3</v>
      </c>
      <c r="D2" s="2">
        <v>2</v>
      </c>
      <c r="E2" s="2">
        <v>0</v>
      </c>
      <c r="F2" s="2">
        <v>1</v>
      </c>
      <c r="G2" s="2">
        <v>4</v>
      </c>
      <c r="H2" s="2">
        <v>3</v>
      </c>
      <c r="I2" s="2">
        <v>1</v>
      </c>
      <c r="J2" s="9">
        <v>6</v>
      </c>
      <c r="K2" s="12" t="str">
        <f t="shared" ref="K2:K4" si="0">IF(COUNTIF(L$2:L$15,"&lt;"&amp;$J2)=COUNTA(A$2:A$15)-1,"锁一",
 IF(COUNTIF(L$2:L$15,"&lt;"&amp;$J2)=COUNTA(A$2:A$15)-2,"锁二",
 IF(COUNTIF(L$2:L$15,"&lt;"&amp;$J2)=COUNTA(A$2:A$15)-3,"锁三",IF(COUNTIF(J$2:J$15,"&gt;"&amp;$L2)&gt;=COUNTA(A$2:A$15)-$K$1,"降决",""))))</f>
        <v>锁三</v>
      </c>
      <c r="L2" s="51">
        <v>9</v>
      </c>
      <c r="M2" s="11"/>
    </row>
    <row r="3" spans="1:13" x14ac:dyDescent="0.2">
      <c r="A3" s="3">
        <v>2</v>
      </c>
      <c r="B3" s="2" t="s">
        <v>142</v>
      </c>
      <c r="C3" s="2">
        <v>1</v>
      </c>
      <c r="D3" s="2">
        <v>1</v>
      </c>
      <c r="E3" s="2">
        <v>0</v>
      </c>
      <c r="F3" s="2">
        <v>0</v>
      </c>
      <c r="G3" s="2">
        <v>2</v>
      </c>
      <c r="H3" s="2">
        <v>1</v>
      </c>
      <c r="I3" s="2">
        <v>1</v>
      </c>
      <c r="J3" s="2">
        <v>3</v>
      </c>
      <c r="K3" s="12" t="str">
        <f t="shared" si="0"/>
        <v/>
      </c>
      <c r="L3" s="51">
        <v>6</v>
      </c>
      <c r="M3" s="11"/>
    </row>
    <row r="4" spans="1:13" x14ac:dyDescent="0.2">
      <c r="A4" s="3">
        <v>3</v>
      </c>
      <c r="B4" s="2" t="s">
        <v>143</v>
      </c>
      <c r="C4" s="2">
        <v>1</v>
      </c>
      <c r="D4" s="2">
        <v>0</v>
      </c>
      <c r="E4" s="2">
        <v>0</v>
      </c>
      <c r="F4" s="2">
        <v>1</v>
      </c>
      <c r="G4" s="2">
        <v>1</v>
      </c>
      <c r="H4" s="2">
        <v>2</v>
      </c>
      <c r="I4" s="2">
        <v>-1</v>
      </c>
      <c r="J4" s="2">
        <v>0</v>
      </c>
      <c r="K4" s="12" t="str">
        <f t="shared" si="0"/>
        <v/>
      </c>
      <c r="L4" s="51">
        <v>6</v>
      </c>
      <c r="M4" s="11"/>
    </row>
    <row r="5" spans="1:13" x14ac:dyDescent="0.2">
      <c r="A5" s="3">
        <v>4</v>
      </c>
      <c r="B5" s="2" t="s">
        <v>144</v>
      </c>
      <c r="C5" s="2">
        <v>1</v>
      </c>
      <c r="D5" s="2">
        <v>0</v>
      </c>
      <c r="E5" s="2">
        <v>0</v>
      </c>
      <c r="F5" s="2">
        <v>1</v>
      </c>
      <c r="G5" s="2">
        <v>0</v>
      </c>
      <c r="H5" s="2">
        <v>1</v>
      </c>
      <c r="I5" s="2">
        <v>-1</v>
      </c>
      <c r="J5" s="2">
        <v>0</v>
      </c>
      <c r="K5" s="12" t="str">
        <f>IF(COUNTIF(L$2:L$15,"&lt;"&amp;$J5)=COUNTA(A$2:A$15)-1,"锁一",
 IF(COUNTIF(L$2:L$15,"&lt;"&amp;$J5)=COUNTA(A$2:A$15)-2,"锁二",
 IF(COUNTIF(L$2:L$15,"&lt;"&amp;$J5)=COUNTA(A$2:A$15)-3,"锁三",IF(COUNTIF(J$2:J$15,"&gt;"&amp;$L5)&gt;=COUNTA(A$2:A$15)-$K$1,"降决",""))))</f>
        <v/>
      </c>
      <c r="L5" s="51">
        <v>3</v>
      </c>
      <c r="M5" s="11"/>
    </row>
    <row r="6" spans="1:13" x14ac:dyDescent="0.2">
      <c r="L6" s="11"/>
      <c r="M6" s="11"/>
    </row>
    <row r="7" spans="1:13" x14ac:dyDescent="0.2">
      <c r="L7" s="11"/>
      <c r="M7" s="11"/>
    </row>
    <row r="8" spans="1:13" x14ac:dyDescent="0.2">
      <c r="L8" s="11"/>
      <c r="M8" s="11"/>
    </row>
    <row r="12" spans="1:13" x14ac:dyDescent="0.2">
      <c r="A12" s="8"/>
      <c r="C12" s="8"/>
      <c r="E12" s="8"/>
      <c r="G12" s="8"/>
      <c r="I12" s="8"/>
    </row>
    <row r="20" spans="1:3" x14ac:dyDescent="0.2">
      <c r="A20" s="6" t="s">
        <v>3</v>
      </c>
      <c r="B20">
        <v>0</v>
      </c>
      <c r="C20" s="1" t="s">
        <v>6</v>
      </c>
    </row>
    <row r="21" spans="1:3" x14ac:dyDescent="0.2">
      <c r="A21" s="7" t="s">
        <v>4</v>
      </c>
      <c r="B21">
        <v>4</v>
      </c>
      <c r="C21" t="s">
        <v>7</v>
      </c>
    </row>
    <row r="22" spans="1:3" x14ac:dyDescent="0.2">
      <c r="A22" s="7" t="s">
        <v>5</v>
      </c>
      <c r="B22">
        <v>1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ranking">
                <anchor moveWithCells="1" sizeWithCells="1">
                  <from>
                    <xdr:col>13</xdr:col>
                    <xdr:colOff>431800</xdr:colOff>
                    <xdr:row>4</xdr:row>
                    <xdr:rowOff>139700</xdr:rowOff>
                  </from>
                  <to>
                    <xdr:col>15</xdr:col>
                    <xdr:colOff>863600</xdr:colOff>
                    <xdr:row>9</xdr:row>
                    <xdr:rowOff>50800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 enableFormatConditionsCalculation="0"/>
  <dimension ref="A1:M22"/>
  <sheetViews>
    <sheetView workbookViewId="0">
      <selection activeCell="L5" sqref="L1:L5"/>
    </sheetView>
  </sheetViews>
  <sheetFormatPr baseColWidth="10" defaultColWidth="8.83203125" defaultRowHeight="15" x14ac:dyDescent="0.2"/>
  <cols>
    <col min="1" max="1" width="7.1640625" bestFit="1" customWidth="1"/>
    <col min="2" max="2" width="13" bestFit="1" customWidth="1"/>
    <col min="3" max="6" width="3.33203125" bestFit="1" customWidth="1"/>
    <col min="7" max="8" width="3.5" bestFit="1" customWidth="1"/>
    <col min="9" max="9" width="4.6640625" customWidth="1"/>
    <col min="10" max="10" width="5.1640625" bestFit="1" customWidth="1"/>
    <col min="11" max="11" width="6.1640625" style="12" customWidth="1"/>
    <col min="12" max="12" width="4.6640625" customWidth="1"/>
    <col min="13" max="13" width="7.1640625" bestFit="1" customWidth="1"/>
  </cols>
  <sheetData>
    <row r="1" spans="1:13" x14ac:dyDescent="0.2">
      <c r="A1" s="30" t="s">
        <v>1</v>
      </c>
      <c r="B1" s="31" t="s">
        <v>0</v>
      </c>
      <c r="C1" s="31" t="s">
        <v>19</v>
      </c>
      <c r="D1" s="32" t="s">
        <v>12</v>
      </c>
      <c r="E1" s="31" t="s">
        <v>13</v>
      </c>
      <c r="F1" s="31" t="s">
        <v>14</v>
      </c>
      <c r="G1" s="31" t="s">
        <v>17</v>
      </c>
      <c r="H1" s="31" t="s">
        <v>15</v>
      </c>
      <c r="I1" s="31" t="s">
        <v>16</v>
      </c>
      <c r="J1" s="31" t="s">
        <v>18</v>
      </c>
      <c r="K1" s="13">
        <v>0</v>
      </c>
      <c r="L1" s="50" t="s">
        <v>173</v>
      </c>
      <c r="M1" s="11"/>
    </row>
    <row r="2" spans="1:13" x14ac:dyDescent="0.2">
      <c r="A2" s="3">
        <v>1</v>
      </c>
      <c r="B2" s="2" t="s">
        <v>145</v>
      </c>
      <c r="C2" s="2">
        <v>3</v>
      </c>
      <c r="D2" s="2">
        <v>1</v>
      </c>
      <c r="E2" s="2">
        <v>2</v>
      </c>
      <c r="F2" s="2">
        <v>0</v>
      </c>
      <c r="G2" s="2">
        <v>3</v>
      </c>
      <c r="H2" s="2">
        <v>2</v>
      </c>
      <c r="I2" s="2">
        <v>1</v>
      </c>
      <c r="J2" s="9">
        <v>5</v>
      </c>
      <c r="K2" s="12" t="str">
        <f t="shared" ref="K2:K4" si="0">IF(COUNTIF(L$2:L$15,"&lt;"&amp;$J2)=COUNTA(A$2:A$15)-1,"锁一",
 IF(COUNTIF(L$2:L$15,"&lt;"&amp;$J2)=COUNTA(A$2:A$15)-2,"锁二",
 IF(COUNTIF(L$2:L$15,"&lt;"&amp;$J2)=COUNTA(A$2:A$15)-3,"锁三",IF(COUNTIF(J$2:J$15,"&gt;"&amp;$L2)&gt;=COUNTA(A$2:A$15)-$K$1,"降决",""))))</f>
        <v>锁三</v>
      </c>
      <c r="L2" s="51">
        <v>9</v>
      </c>
      <c r="M2" s="11"/>
    </row>
    <row r="3" spans="1:13" x14ac:dyDescent="0.2">
      <c r="A3" s="3">
        <v>2</v>
      </c>
      <c r="B3" s="2" t="s">
        <v>146</v>
      </c>
      <c r="C3" s="2">
        <v>1</v>
      </c>
      <c r="D3" s="2">
        <v>0</v>
      </c>
      <c r="E3" s="2">
        <v>1</v>
      </c>
      <c r="F3" s="2">
        <v>0</v>
      </c>
      <c r="G3" s="2">
        <v>2</v>
      </c>
      <c r="H3" s="2">
        <v>2</v>
      </c>
      <c r="I3" s="2">
        <v>0</v>
      </c>
      <c r="J3" s="2">
        <v>1</v>
      </c>
      <c r="K3" s="12" t="str">
        <f t="shared" si="0"/>
        <v/>
      </c>
      <c r="L3" s="51">
        <v>6</v>
      </c>
      <c r="M3" s="11"/>
    </row>
    <row r="4" spans="1:13" x14ac:dyDescent="0.2">
      <c r="A4" s="3">
        <v>3</v>
      </c>
      <c r="B4" s="2" t="s">
        <v>147</v>
      </c>
      <c r="C4" s="2">
        <v>1</v>
      </c>
      <c r="D4" s="2">
        <v>0</v>
      </c>
      <c r="E4" s="2">
        <v>1</v>
      </c>
      <c r="F4" s="2">
        <v>0</v>
      </c>
      <c r="G4" s="2">
        <v>0</v>
      </c>
      <c r="H4" s="2">
        <v>0</v>
      </c>
      <c r="I4" s="2">
        <v>0</v>
      </c>
      <c r="J4" s="2">
        <v>1</v>
      </c>
      <c r="K4" s="12" t="str">
        <f t="shared" si="0"/>
        <v/>
      </c>
      <c r="L4" s="51">
        <v>6</v>
      </c>
      <c r="M4" s="11"/>
    </row>
    <row r="5" spans="1:13" x14ac:dyDescent="0.2">
      <c r="A5" s="3">
        <v>4</v>
      </c>
      <c r="B5" s="2" t="s">
        <v>148</v>
      </c>
      <c r="C5" s="2">
        <v>1</v>
      </c>
      <c r="D5" s="2">
        <v>0</v>
      </c>
      <c r="E5" s="2">
        <v>0</v>
      </c>
      <c r="F5" s="2">
        <v>1</v>
      </c>
      <c r="G5" s="2">
        <v>0</v>
      </c>
      <c r="H5" s="2">
        <v>1</v>
      </c>
      <c r="I5" s="2">
        <v>-1</v>
      </c>
      <c r="J5" s="2">
        <v>0</v>
      </c>
      <c r="K5" s="12" t="str">
        <f>IF(COUNTIF(L$2:L$15,"&lt;"&amp;$J5)=COUNTA(A$2:A$15)-1,"锁一",
 IF(COUNTIF(L$2:L$15,"&lt;"&amp;$J5)=COUNTA(A$2:A$15)-2,"锁二",
 IF(COUNTIF(L$2:L$15,"&lt;"&amp;$J5)=COUNTA(A$2:A$15)-3,"锁三",IF(COUNTIF(J$2:J$15,"&gt;"&amp;$L5)&gt;=COUNTA(A$2:A$15)-$K$1,"降决",""))))</f>
        <v/>
      </c>
      <c r="L5" s="51">
        <v>3</v>
      </c>
      <c r="M5" s="11"/>
    </row>
    <row r="6" spans="1:13" x14ac:dyDescent="0.2">
      <c r="L6" s="11"/>
      <c r="M6" s="11"/>
    </row>
    <row r="7" spans="1:13" x14ac:dyDescent="0.2">
      <c r="L7" s="11"/>
      <c r="M7" s="11"/>
    </row>
    <row r="8" spans="1:13" x14ac:dyDescent="0.2">
      <c r="L8" s="11"/>
      <c r="M8" s="11"/>
    </row>
    <row r="12" spans="1:13" x14ac:dyDescent="0.2">
      <c r="A12" s="8"/>
      <c r="C12" s="8"/>
      <c r="E12" s="8"/>
      <c r="G12" s="8"/>
      <c r="I12" s="8"/>
    </row>
    <row r="20" spans="1:3" x14ac:dyDescent="0.2">
      <c r="A20" s="6" t="s">
        <v>3</v>
      </c>
      <c r="B20">
        <v>0</v>
      </c>
      <c r="C20" s="1" t="s">
        <v>6</v>
      </c>
    </row>
    <row r="21" spans="1:3" x14ac:dyDescent="0.2">
      <c r="A21" s="7" t="s">
        <v>4</v>
      </c>
      <c r="B21">
        <v>4</v>
      </c>
      <c r="C21" t="s">
        <v>7</v>
      </c>
    </row>
    <row r="22" spans="1:3" x14ac:dyDescent="0.2">
      <c r="A22" s="7" t="s">
        <v>5</v>
      </c>
      <c r="B22">
        <v>1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ranking">
                <anchor moveWithCells="1" sizeWithCells="1">
                  <from>
                    <xdr:col>13</xdr:col>
                    <xdr:colOff>431800</xdr:colOff>
                    <xdr:row>4</xdr:row>
                    <xdr:rowOff>139700</xdr:rowOff>
                  </from>
                  <to>
                    <xdr:col>15</xdr:col>
                    <xdr:colOff>863600</xdr:colOff>
                    <xdr:row>9</xdr:row>
                    <xdr:rowOff>50800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 enableFormatConditionsCalculation="0"/>
  <dimension ref="A1:M22"/>
  <sheetViews>
    <sheetView workbookViewId="0">
      <selection activeCell="J9" sqref="J9"/>
    </sheetView>
  </sheetViews>
  <sheetFormatPr baseColWidth="10" defaultColWidth="8.83203125" defaultRowHeight="15" x14ac:dyDescent="0.2"/>
  <cols>
    <col min="1" max="1" width="7.1640625" bestFit="1" customWidth="1"/>
    <col min="2" max="2" width="13" bestFit="1" customWidth="1"/>
    <col min="3" max="6" width="3.33203125" bestFit="1" customWidth="1"/>
    <col min="7" max="8" width="3.5" bestFit="1" customWidth="1"/>
    <col min="9" max="9" width="4.6640625" customWidth="1"/>
    <col min="10" max="10" width="5.1640625" bestFit="1" customWidth="1"/>
    <col min="11" max="11" width="6.1640625" style="12" customWidth="1"/>
    <col min="12" max="12" width="4.6640625" customWidth="1"/>
    <col min="13" max="13" width="7.1640625" bestFit="1" customWidth="1"/>
  </cols>
  <sheetData>
    <row r="1" spans="1:13" x14ac:dyDescent="0.2">
      <c r="A1" s="30" t="s">
        <v>1</v>
      </c>
      <c r="B1" s="31" t="s">
        <v>0</v>
      </c>
      <c r="C1" s="31" t="s">
        <v>19</v>
      </c>
      <c r="D1" s="32" t="s">
        <v>12</v>
      </c>
      <c r="E1" s="31" t="s">
        <v>13</v>
      </c>
      <c r="F1" s="31" t="s">
        <v>14</v>
      </c>
      <c r="G1" s="31" t="s">
        <v>17</v>
      </c>
      <c r="H1" s="31" t="s">
        <v>15</v>
      </c>
      <c r="I1" s="31" t="s">
        <v>16</v>
      </c>
      <c r="J1" s="31" t="s">
        <v>18</v>
      </c>
      <c r="K1" s="13">
        <v>0</v>
      </c>
      <c r="L1" s="50" t="s">
        <v>173</v>
      </c>
      <c r="M1" s="11"/>
    </row>
    <row r="2" spans="1:13" x14ac:dyDescent="0.2">
      <c r="A2" s="3">
        <v>1</v>
      </c>
      <c r="B2" s="2" t="s">
        <v>161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9">
        <v>0</v>
      </c>
      <c r="K2" s="12" t="str">
        <f t="shared" ref="K2:K4" si="0">IF(COUNTIF(L$2:L$15,"&lt;"&amp;$J2)=COUNTA(A$2:A$15)-1,"锁一",
 IF(COUNTIF(L$2:L$15,"&lt;"&amp;$J2)=COUNTA(A$2:A$15)-2,"锁二",
 IF(COUNTIF(L$2:L$15,"&lt;"&amp;$J2)=COUNTA(A$2:A$15)-3,"锁三",IF(COUNTIF(J$2:J$15,"&gt;"&amp;$L2)&gt;=COUNTA(A$2:A$15)-$K$1,"降决",""))))</f>
        <v/>
      </c>
      <c r="L2" s="51">
        <v>9</v>
      </c>
      <c r="M2" s="11"/>
    </row>
    <row r="3" spans="1:13" x14ac:dyDescent="0.2">
      <c r="A3" s="3">
        <v>2</v>
      </c>
      <c r="B3" s="2" t="s">
        <v>162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12" t="str">
        <f t="shared" si="0"/>
        <v/>
      </c>
      <c r="L3" s="51">
        <v>6</v>
      </c>
      <c r="M3" s="11"/>
    </row>
    <row r="4" spans="1:13" x14ac:dyDescent="0.2">
      <c r="A4" s="3">
        <v>3</v>
      </c>
      <c r="B4" s="2" t="s">
        <v>163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12" t="str">
        <f t="shared" si="0"/>
        <v/>
      </c>
      <c r="L4" s="51">
        <v>6</v>
      </c>
      <c r="M4" s="11"/>
    </row>
    <row r="5" spans="1:13" x14ac:dyDescent="0.2">
      <c r="A5" s="3">
        <v>4</v>
      </c>
      <c r="B5" s="2" t="s">
        <v>164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12" t="str">
        <f>IF(COUNTIF(L$2:L$15,"&lt;"&amp;$J5)=COUNTA(A$2:A$15)-1,"锁一",
 IF(COUNTIF(L$2:L$15,"&lt;"&amp;$J5)=COUNTA(A$2:A$15)-2,"锁二",
 IF(COUNTIF(L$2:L$15,"&lt;"&amp;$J5)=COUNTA(A$2:A$15)-3,"锁三",IF(COUNTIF(J$2:J$15,"&gt;"&amp;$L5)&gt;=COUNTA(A$2:A$15)-$K$1,"降决",""))))</f>
        <v/>
      </c>
      <c r="L5" s="51">
        <v>3</v>
      </c>
      <c r="M5" s="11"/>
    </row>
    <row r="6" spans="1:13" x14ac:dyDescent="0.2">
      <c r="L6" s="11"/>
      <c r="M6" s="11"/>
    </row>
    <row r="7" spans="1:13" x14ac:dyDescent="0.2">
      <c r="L7" s="11"/>
      <c r="M7" s="11"/>
    </row>
    <row r="8" spans="1:13" x14ac:dyDescent="0.2">
      <c r="L8" s="11"/>
      <c r="M8" s="11"/>
    </row>
    <row r="12" spans="1:13" x14ac:dyDescent="0.2">
      <c r="A12" s="8"/>
      <c r="C12" s="8"/>
      <c r="E12" s="8"/>
      <c r="G12" s="8"/>
      <c r="I12" s="8"/>
    </row>
    <row r="20" spans="1:3" x14ac:dyDescent="0.2">
      <c r="A20" s="6" t="s">
        <v>3</v>
      </c>
      <c r="B20">
        <v>0</v>
      </c>
      <c r="C20" s="1" t="s">
        <v>6</v>
      </c>
    </row>
    <row r="21" spans="1:3" x14ac:dyDescent="0.2">
      <c r="A21" s="7" t="s">
        <v>4</v>
      </c>
      <c r="B21">
        <v>4</v>
      </c>
      <c r="C21" t="s">
        <v>7</v>
      </c>
    </row>
    <row r="22" spans="1:3" x14ac:dyDescent="0.2">
      <c r="A22" s="7" t="s">
        <v>5</v>
      </c>
      <c r="B22">
        <v>1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ranking">
                <anchor moveWithCells="1" sizeWithCells="1">
                  <from>
                    <xdr:col>13</xdr:col>
                    <xdr:colOff>431800</xdr:colOff>
                    <xdr:row>4</xdr:row>
                    <xdr:rowOff>139700</xdr:rowOff>
                  </from>
                  <to>
                    <xdr:col>15</xdr:col>
                    <xdr:colOff>863600</xdr:colOff>
                    <xdr:row>9</xdr:row>
                    <xdr:rowOff>50800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 enableFormatConditionsCalculation="0"/>
  <dimension ref="A1:M22"/>
  <sheetViews>
    <sheetView workbookViewId="0">
      <selection activeCell="L5" sqref="L1:L5"/>
    </sheetView>
  </sheetViews>
  <sheetFormatPr baseColWidth="10" defaultColWidth="8.83203125" defaultRowHeight="15" x14ac:dyDescent="0.2"/>
  <cols>
    <col min="1" max="1" width="7.1640625" bestFit="1" customWidth="1"/>
    <col min="2" max="2" width="13" bestFit="1" customWidth="1"/>
    <col min="3" max="6" width="3.33203125" bestFit="1" customWidth="1"/>
    <col min="7" max="8" width="3.5" bestFit="1" customWidth="1"/>
    <col min="9" max="9" width="4.6640625" customWidth="1"/>
    <col min="10" max="10" width="5.1640625" bestFit="1" customWidth="1"/>
    <col min="11" max="11" width="6.1640625" style="12" customWidth="1"/>
    <col min="12" max="12" width="4.6640625" customWidth="1"/>
    <col min="13" max="13" width="7.1640625" bestFit="1" customWidth="1"/>
  </cols>
  <sheetData>
    <row r="1" spans="1:13" x14ac:dyDescent="0.2">
      <c r="A1" s="30" t="s">
        <v>1</v>
      </c>
      <c r="B1" s="31" t="s">
        <v>0</v>
      </c>
      <c r="C1" s="31" t="s">
        <v>19</v>
      </c>
      <c r="D1" s="32" t="s">
        <v>12</v>
      </c>
      <c r="E1" s="31" t="s">
        <v>13</v>
      </c>
      <c r="F1" s="31" t="s">
        <v>14</v>
      </c>
      <c r="G1" s="31" t="s">
        <v>17</v>
      </c>
      <c r="H1" s="31" t="s">
        <v>15</v>
      </c>
      <c r="I1" s="31" t="s">
        <v>16</v>
      </c>
      <c r="J1" s="31" t="s">
        <v>18</v>
      </c>
      <c r="K1" s="13">
        <v>0</v>
      </c>
      <c r="L1" s="50" t="s">
        <v>173</v>
      </c>
      <c r="M1" s="11"/>
    </row>
    <row r="2" spans="1:13" x14ac:dyDescent="0.2">
      <c r="A2" s="3">
        <v>1</v>
      </c>
      <c r="B2" s="2" t="s">
        <v>165</v>
      </c>
      <c r="C2" s="2">
        <v>2</v>
      </c>
      <c r="D2" s="2">
        <v>1</v>
      </c>
      <c r="E2" s="2">
        <v>1</v>
      </c>
      <c r="F2" s="2">
        <v>0</v>
      </c>
      <c r="G2" s="2">
        <v>2</v>
      </c>
      <c r="H2" s="2">
        <v>0</v>
      </c>
      <c r="I2" s="2">
        <v>2</v>
      </c>
      <c r="J2" s="9">
        <v>4</v>
      </c>
      <c r="K2" s="12" t="str">
        <f t="shared" ref="K2:K4" si="0">IF(COUNTIF(L$2:L$15,"&lt;"&amp;$J2)=COUNTA(A$2:A$15)-1,"锁一",
 IF(COUNTIF(L$2:L$15,"&lt;"&amp;$J2)=COUNTA(A$2:A$15)-2,"锁二",
 IF(COUNTIF(L$2:L$15,"&lt;"&amp;$J2)=COUNTA(A$2:A$15)-3,"锁三",IF(COUNTIF(J$2:J$15,"&gt;"&amp;$L2)&gt;=COUNTA(A$2:A$15)-$K$1,"降决",""))))</f>
        <v>锁三</v>
      </c>
      <c r="L2" s="51">
        <v>9</v>
      </c>
      <c r="M2" s="11"/>
    </row>
    <row r="3" spans="1:13" x14ac:dyDescent="0.2">
      <c r="A3" s="3">
        <v>2</v>
      </c>
      <c r="B3" s="2" t="s">
        <v>166</v>
      </c>
      <c r="C3" s="2">
        <v>1</v>
      </c>
      <c r="D3" s="2">
        <v>0</v>
      </c>
      <c r="E3" s="2">
        <v>1</v>
      </c>
      <c r="F3" s="2">
        <v>0</v>
      </c>
      <c r="G3" s="2">
        <v>0</v>
      </c>
      <c r="H3" s="2">
        <v>0</v>
      </c>
      <c r="I3" s="2">
        <v>0</v>
      </c>
      <c r="J3" s="2">
        <v>1</v>
      </c>
      <c r="K3" s="12" t="str">
        <f t="shared" si="0"/>
        <v/>
      </c>
      <c r="L3" s="51">
        <v>6</v>
      </c>
      <c r="M3" s="11"/>
    </row>
    <row r="4" spans="1:13" x14ac:dyDescent="0.2">
      <c r="A4" s="3">
        <v>3</v>
      </c>
      <c r="B4" s="2" t="s">
        <v>167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12" t="str">
        <f t="shared" si="0"/>
        <v/>
      </c>
      <c r="L4" s="51">
        <v>6</v>
      </c>
      <c r="M4" s="11"/>
    </row>
    <row r="5" spans="1:13" x14ac:dyDescent="0.2">
      <c r="A5" s="3">
        <v>4</v>
      </c>
      <c r="B5" s="2" t="s">
        <v>168</v>
      </c>
      <c r="C5" s="2">
        <v>1</v>
      </c>
      <c r="D5" s="2">
        <v>0</v>
      </c>
      <c r="E5" s="2">
        <v>0</v>
      </c>
      <c r="F5" s="2">
        <v>1</v>
      </c>
      <c r="G5" s="2">
        <v>0</v>
      </c>
      <c r="H5" s="2">
        <v>2</v>
      </c>
      <c r="I5" s="2">
        <v>-2</v>
      </c>
      <c r="J5" s="2">
        <v>0</v>
      </c>
      <c r="K5" s="12" t="str">
        <f>IF(COUNTIF(L$2:L$15,"&lt;"&amp;$J5)=COUNTA(A$2:A$15)-1,"锁一",
 IF(COUNTIF(L$2:L$15,"&lt;"&amp;$J5)=COUNTA(A$2:A$15)-2,"锁二",
 IF(COUNTIF(L$2:L$15,"&lt;"&amp;$J5)=COUNTA(A$2:A$15)-3,"锁三",IF(COUNTIF(J$2:J$15,"&gt;"&amp;$L5)&gt;=COUNTA(A$2:A$15)-$K$1,"降决",""))))</f>
        <v/>
      </c>
      <c r="L5" s="51">
        <v>3</v>
      </c>
      <c r="M5" s="11"/>
    </row>
    <row r="6" spans="1:13" x14ac:dyDescent="0.2">
      <c r="L6" s="11"/>
      <c r="M6" s="11"/>
    </row>
    <row r="7" spans="1:13" x14ac:dyDescent="0.2">
      <c r="L7" s="11"/>
      <c r="M7" s="11"/>
    </row>
    <row r="8" spans="1:13" x14ac:dyDescent="0.2">
      <c r="L8" s="11"/>
      <c r="M8" s="11"/>
    </row>
    <row r="12" spans="1:13" x14ac:dyDescent="0.2">
      <c r="A12" s="8"/>
      <c r="C12" s="8"/>
      <c r="E12" s="8"/>
      <c r="G12" s="8"/>
      <c r="I12" s="8"/>
    </row>
    <row r="20" spans="1:3" x14ac:dyDescent="0.2">
      <c r="A20" s="6" t="s">
        <v>3</v>
      </c>
      <c r="B20">
        <v>0</v>
      </c>
      <c r="C20" s="1" t="s">
        <v>6</v>
      </c>
    </row>
    <row r="21" spans="1:3" x14ac:dyDescent="0.2">
      <c r="A21" s="7" t="s">
        <v>4</v>
      </c>
      <c r="B21">
        <v>4</v>
      </c>
      <c r="C21" t="s">
        <v>7</v>
      </c>
    </row>
    <row r="22" spans="1:3" x14ac:dyDescent="0.2">
      <c r="A22" s="7" t="s">
        <v>5</v>
      </c>
      <c r="B22">
        <v>1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ranking">
                <anchor moveWithCells="1" sizeWithCells="1">
                  <from>
                    <xdr:col>13</xdr:col>
                    <xdr:colOff>431800</xdr:colOff>
                    <xdr:row>4</xdr:row>
                    <xdr:rowOff>139700</xdr:rowOff>
                  </from>
                  <to>
                    <xdr:col>15</xdr:col>
                    <xdr:colOff>863600</xdr:colOff>
                    <xdr:row>9</xdr:row>
                    <xdr:rowOff>50800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H14"/>
  <sheetViews>
    <sheetView workbookViewId="0">
      <selection activeCell="L19" sqref="L19"/>
    </sheetView>
  </sheetViews>
  <sheetFormatPr baseColWidth="10" defaultColWidth="8.83203125" defaultRowHeight="15" x14ac:dyDescent="0.2"/>
  <cols>
    <col min="1" max="2" width="15.1640625" bestFit="1" customWidth="1"/>
    <col min="3" max="4" width="2.5" bestFit="1" customWidth="1"/>
    <col min="6" max="6" width="5.83203125" style="21" bestFit="1" customWidth="1"/>
    <col min="7" max="7" width="6.5" style="21" customWidth="1"/>
    <col min="8" max="8" width="5.1640625" style="21" bestFit="1" customWidth="1"/>
  </cols>
  <sheetData>
    <row r="1" spans="1:8" x14ac:dyDescent="0.2">
      <c r="A1" s="4" t="s">
        <v>9</v>
      </c>
      <c r="C1" s="5" t="s">
        <v>2</v>
      </c>
      <c r="D1" s="5"/>
      <c r="E1" s="23" t="s">
        <v>26</v>
      </c>
      <c r="F1" s="21" t="str">
        <f ca="1">IF(OR(OR($A1="",$B1=""),AND($C1&lt;&gt;"",$D1&lt;&gt;"")),"",VLOOKUP(A1,IF({1,0},INDIRECT("达修波得!$"&amp;$E$1&amp;"$2:$"&amp;$E$1&amp;"$8"),达修波得!$A$2:$A$8),2,FALSE))</f>
        <v/>
      </c>
      <c r="G1" s="21" t="str">
        <f ca="1">IF(OR(OR($A1="",$B1=""),AND($C1&lt;&gt;"",$D1&lt;&gt;"")),"",VLOOKUP(B1,IF({1,0},INDIRECT("达修波得!$"&amp;$E$1&amp;"$2:$"&amp;$E$1&amp;"$8"),达修波得!$A$2:$A$8),2,FALSE))</f>
        <v/>
      </c>
      <c r="H1" s="21" t="str">
        <f ca="1">F1&amp;G1</f>
        <v/>
      </c>
    </row>
    <row r="2" spans="1:8" x14ac:dyDescent="0.2">
      <c r="A2" t="s">
        <v>62</v>
      </c>
      <c r="B2" t="s">
        <v>63</v>
      </c>
      <c r="C2">
        <v>2</v>
      </c>
      <c r="D2">
        <v>0</v>
      </c>
      <c r="F2" s="21" t="str">
        <f ca="1">IF(OR(OR($A2="",$B2=""),AND($C2&lt;&gt;"",$D2&lt;&gt;"")),"",VLOOKUP(A2,IF({1,0},INDIRECT("达修波得!$"&amp;$E$1&amp;"$2:$"&amp;$E$1&amp;"$14"),达修波得!$A$2:$A$14),2,FALSE))</f>
        <v/>
      </c>
      <c r="G2" s="21" t="str">
        <f ca="1">IF(OR(OR($A2="",$B2=""),AND($C2&lt;&gt;"",$D2&lt;&gt;"")),"",VLOOKUP(B2,IF({1,0},INDIRECT("达修波得!$"&amp;$E$1&amp;"$2:$"&amp;$E$1&amp;"$14"),达修波得!$A$2:$A$14),2,FALSE))</f>
        <v/>
      </c>
      <c r="H2" s="21" t="str">
        <f ca="1">F2&amp;G2</f>
        <v/>
      </c>
    </row>
    <row r="3" spans="1:8" x14ac:dyDescent="0.2">
      <c r="A3" s="1" t="s">
        <v>67</v>
      </c>
      <c r="B3" t="s">
        <v>66</v>
      </c>
      <c r="C3">
        <v>0</v>
      </c>
      <c r="D3">
        <v>1</v>
      </c>
      <c r="F3" s="21" t="str">
        <f ca="1">IF(OR(OR($A3="",$B3=""),AND($C3&lt;&gt;"",$D3&lt;&gt;"")),"",VLOOKUP(A3,IF({1,0},INDIRECT("达修波得!$"&amp;$E$1&amp;"$2:$"&amp;$E$1&amp;"$14"),达修波得!$A$2:$A$14),2,FALSE))</f>
        <v/>
      </c>
      <c r="G3" s="21" t="str">
        <f ca="1">IF(OR(OR($A3="",$B3=""),AND($C3&lt;&gt;"",$D3&lt;&gt;"")),"",VLOOKUP(B3,IF({1,0},INDIRECT("达修波得!$"&amp;$E$1&amp;"$2:$"&amp;$E$1&amp;"$14"),达修波得!$A$2:$A$14),2,FALSE))</f>
        <v/>
      </c>
      <c r="H3" s="21" t="str">
        <f t="shared" ref="H3:H9" ca="1" si="0">F3&amp;G3</f>
        <v/>
      </c>
    </row>
    <row r="4" spans="1:8" x14ac:dyDescent="0.2">
      <c r="A4" s="4" t="s">
        <v>10</v>
      </c>
      <c r="F4" s="21" t="str">
        <f ca="1">IF(OR(OR($A4="",$B4=""),AND($C4&lt;&gt;"",$D4&lt;&gt;"")),"",VLOOKUP(A4,IF({1,0},INDIRECT("达修波得!$"&amp;$E$1&amp;"$2:$"&amp;$E$1&amp;"$14"),达修波得!$A$2:$A$14),2,FALSE))</f>
        <v/>
      </c>
      <c r="G4" s="21" t="str">
        <f ca="1">IF(OR(OR($A4="",$B4=""),AND($C4&lt;&gt;"",$D4&lt;&gt;"")),"",VLOOKUP(B4,IF({1,0},INDIRECT("达修波得!$"&amp;$E$1&amp;"$2:$"&amp;$E$1&amp;"$14"),达修波得!$A$2:$A$14),2,FALSE))</f>
        <v/>
      </c>
      <c r="H4" s="21" t="str">
        <f t="shared" ca="1" si="0"/>
        <v/>
      </c>
    </row>
    <row r="5" spans="1:8" x14ac:dyDescent="0.2">
      <c r="A5" t="s">
        <v>62</v>
      </c>
      <c r="B5" t="s">
        <v>65</v>
      </c>
      <c r="C5">
        <v>1</v>
      </c>
      <c r="D5">
        <v>0</v>
      </c>
      <c r="F5" s="21" t="str">
        <f ca="1">IF(OR(OR($A5="",$B5=""),AND($C5&lt;&gt;"",$D5&lt;&gt;"")),"",VLOOKUP(A5,IF({1,0},INDIRECT("达修波得!$"&amp;$E$1&amp;"$2:$"&amp;$E$1&amp;"$14"),达修波得!$A$2:$A$14),2,FALSE))</f>
        <v/>
      </c>
      <c r="G5" s="21" t="str">
        <f ca="1">IF(OR(OR($A5="",$B5=""),AND($C5&lt;&gt;"",$D5&lt;&gt;"")),"",VLOOKUP(B5,IF({1,0},INDIRECT("达修波得!$"&amp;$E$1&amp;"$2:$"&amp;$E$1&amp;"$14"),达修波得!$A$2:$A$14),2,FALSE))</f>
        <v/>
      </c>
      <c r="H5" s="21" t="str">
        <f t="shared" ca="1" si="0"/>
        <v/>
      </c>
    </row>
    <row r="6" spans="1:8" x14ac:dyDescent="0.2">
      <c r="A6" t="s">
        <v>63</v>
      </c>
      <c r="B6" t="s">
        <v>64</v>
      </c>
      <c r="F6" s="21" t="str">
        <f ca="1">IF(OR(OR($A6="",$B6=""),AND($C6&lt;&gt;"",$D6&lt;&gt;"")),"",VLOOKUP(A6,IF({1,0},INDIRECT("达修波得!$"&amp;$E$1&amp;"$2:$"&amp;$E$1&amp;"$14"),达修波得!$A$2:$A$14),2,FALSE))</f>
        <v>磊</v>
      </c>
      <c r="G6" s="21" t="str">
        <f ca="1">IF(OR(OR($A6="",$B6=""),AND($C6&lt;&gt;"",$D6&lt;&gt;"")),"",VLOOKUP(B6,IF({1,0},INDIRECT("达修波得!$"&amp;$E$1&amp;"$2:$"&amp;$E$1&amp;"$14"),达修波得!$A$2:$A$14),2,FALSE))</f>
        <v>宇</v>
      </c>
      <c r="H6" s="21" t="str">
        <f t="shared" ca="1" si="0"/>
        <v>磊宇</v>
      </c>
    </row>
    <row r="7" spans="1:8" x14ac:dyDescent="0.2">
      <c r="A7" s="4" t="s">
        <v>11</v>
      </c>
      <c r="F7" s="21" t="str">
        <f ca="1">IF(OR(OR($A7="",$B7=""),AND($C7&lt;&gt;"",$D7&lt;&gt;"")),"",VLOOKUP(A7,IF({1,0},INDIRECT("达修波得!$"&amp;$E$1&amp;"$2:$"&amp;$E$1&amp;"$14"),达修波得!$A$2:$A$14),2,FALSE))</f>
        <v/>
      </c>
      <c r="G7" s="21" t="str">
        <f ca="1">IF(OR(OR($A7="",$B7=""),AND($C7&lt;&gt;"",$D7&lt;&gt;"")),"",VLOOKUP(B7,IF({1,0},INDIRECT("达修波得!$"&amp;$E$1&amp;"$2:$"&amp;$E$1&amp;"$14"),达修波得!$A$2:$A$14),2,FALSE))</f>
        <v/>
      </c>
      <c r="H7" s="21" t="str">
        <f t="shared" ca="1" si="0"/>
        <v/>
      </c>
    </row>
    <row r="8" spans="1:8" x14ac:dyDescent="0.2">
      <c r="A8" t="s">
        <v>62</v>
      </c>
      <c r="B8" t="s">
        <v>64</v>
      </c>
      <c r="C8">
        <v>7</v>
      </c>
      <c r="D8">
        <v>0</v>
      </c>
      <c r="F8" s="21" t="str">
        <f ca="1">IF(OR(OR($A8="",$B8=""),AND($C8&lt;&gt;"",$D8&lt;&gt;"")),"",VLOOKUP(A8,IF({1,0},INDIRECT("达修波得!$"&amp;$E$1&amp;"$2:$"&amp;$E$1&amp;"$14"),达修波得!$A$2:$A$14),2,FALSE))</f>
        <v/>
      </c>
      <c r="G8" s="21" t="str">
        <f ca="1">IF(OR(OR($A8="",$B8=""),AND($C8&lt;&gt;"",$D8&lt;&gt;"")),"",VLOOKUP(B8,IF({1,0},INDIRECT("达修波得!$"&amp;$E$1&amp;"$2:$"&amp;$E$1&amp;"$14"),达修波得!$A$2:$A$14),2,FALSE))</f>
        <v/>
      </c>
      <c r="H8" s="21" t="str">
        <f t="shared" ca="1" si="0"/>
        <v/>
      </c>
    </row>
    <row r="9" spans="1:8" x14ac:dyDescent="0.2">
      <c r="A9" t="s">
        <v>65</v>
      </c>
      <c r="B9" t="s">
        <v>63</v>
      </c>
      <c r="F9" s="21" t="str">
        <f ca="1">IF(OR(OR($A9="",$B9=""),AND($C9&lt;&gt;"",$D9&lt;&gt;"")),"",VLOOKUP(A9,IF({1,0},INDIRECT("达修波得!$"&amp;$E$1&amp;"$2:$"&amp;$E$1&amp;"$14"),达修波得!$A$2:$A$14),2,FALSE))</f>
        <v>二</v>
      </c>
      <c r="G9" s="21" t="str">
        <f ca="1">IF(OR(OR($A9="",$B9=""),AND($C9&lt;&gt;"",$D9&lt;&gt;"")),"",VLOOKUP(B9,IF({1,0},INDIRECT("达修波得!$"&amp;$E$1&amp;"$2:$"&amp;$E$1&amp;"$14"),达修波得!$A$2:$A$14),2,FALSE))</f>
        <v>磊</v>
      </c>
      <c r="H9" s="21" t="str">
        <f t="shared" ca="1" si="0"/>
        <v>二磊</v>
      </c>
    </row>
    <row r="10" spans="1:8" x14ac:dyDescent="0.2">
      <c r="H10" s="21" t="str">
        <f t="shared" ref="H10:H14" si="1">F10&amp;G10</f>
        <v/>
      </c>
    </row>
    <row r="11" spans="1:8" x14ac:dyDescent="0.2">
      <c r="H11" s="21" t="str">
        <f t="shared" si="1"/>
        <v/>
      </c>
    </row>
    <row r="12" spans="1:8" x14ac:dyDescent="0.2">
      <c r="H12" s="21" t="str">
        <f t="shared" si="1"/>
        <v/>
      </c>
    </row>
    <row r="13" spans="1:8" x14ac:dyDescent="0.2">
      <c r="H13" s="21" t="str">
        <f t="shared" si="1"/>
        <v/>
      </c>
    </row>
    <row r="14" spans="1:8" x14ac:dyDescent="0.2">
      <c r="H14" s="21" t="str">
        <f t="shared" si="1"/>
        <v/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H14"/>
  <sheetViews>
    <sheetView workbookViewId="0">
      <selection activeCell="D11" sqref="D11"/>
    </sheetView>
  </sheetViews>
  <sheetFormatPr baseColWidth="10" defaultColWidth="8.83203125" defaultRowHeight="15" x14ac:dyDescent="0.2"/>
  <cols>
    <col min="1" max="2" width="15.1640625" bestFit="1" customWidth="1"/>
    <col min="3" max="4" width="2.5" bestFit="1" customWidth="1"/>
    <col min="6" max="6" width="5.83203125" style="21" bestFit="1" customWidth="1"/>
    <col min="7" max="7" width="6.5" style="21" customWidth="1"/>
    <col min="8" max="8" width="5.1640625" style="21" bestFit="1" customWidth="1"/>
  </cols>
  <sheetData>
    <row r="1" spans="1:8" x14ac:dyDescent="0.2">
      <c r="A1" s="4" t="s">
        <v>9</v>
      </c>
      <c r="C1" s="5" t="s">
        <v>2</v>
      </c>
      <c r="D1" s="5"/>
      <c r="E1" s="23" t="s">
        <v>27</v>
      </c>
      <c r="F1" s="21" t="str">
        <f ca="1">IF(OR(OR($A1="",$B1=""),AND($C1&lt;&gt;"",$D1&lt;&gt;"")),"",VLOOKUP(A1,IF({1,0},INDIRECT("达修波得!$"&amp;$E$1&amp;"$2:$"&amp;$E$1&amp;"$8"),达修波得!$A$2:$A$8),2,FALSE))</f>
        <v/>
      </c>
      <c r="G1" s="21" t="str">
        <f ca="1">IF(OR(OR($A1="",$B1=""),AND($C1&lt;&gt;"",$D1&lt;&gt;"")),"",VLOOKUP(B1,IF({1,0},INDIRECT("达修波得!$"&amp;$E$1&amp;"$2:$"&amp;$E$1&amp;"$8"),达修波得!$A$2:$A$8),2,FALSE))</f>
        <v/>
      </c>
      <c r="H1" s="21" t="str">
        <f ca="1">F1&amp;G1</f>
        <v/>
      </c>
    </row>
    <row r="2" spans="1:8" x14ac:dyDescent="0.2">
      <c r="A2" t="s">
        <v>68</v>
      </c>
      <c r="B2" t="s">
        <v>69</v>
      </c>
      <c r="F2" s="21" t="str">
        <f ca="1">IF(OR(OR($A2="",$B2=""),AND($C2&lt;&gt;"",$D2&lt;&gt;"")),"",VLOOKUP(A2,IF({1,0},INDIRECT("达修波得!$"&amp;$E$1&amp;"$2:$"&amp;$E$1&amp;"$14"),达修波得!$A$2:$A$14),2,FALSE))</f>
        <v>黑</v>
      </c>
      <c r="G2" s="21" t="str">
        <f ca="1">IF(OR(OR($A2="",$B2=""),AND($C2&lt;&gt;"",$D2&lt;&gt;"")),"",VLOOKUP(B2,IF({1,0},INDIRECT("达修波得!$"&amp;$E$1&amp;"$2:$"&amp;$E$1&amp;"$14"),达修波得!$A$2:$A$14),2,FALSE))</f>
        <v>黑</v>
      </c>
      <c r="H2" s="21" t="str">
        <f ca="1">F2&amp;G2</f>
        <v>黑黑</v>
      </c>
    </row>
    <row r="3" spans="1:8" x14ac:dyDescent="0.2">
      <c r="A3" s="1" t="s">
        <v>70</v>
      </c>
      <c r="B3" t="s">
        <v>71</v>
      </c>
      <c r="C3">
        <v>0</v>
      </c>
      <c r="D3">
        <v>3</v>
      </c>
      <c r="F3" s="21" t="str">
        <f ca="1">IF(OR(OR($A3="",$B3=""),AND($C3&lt;&gt;"",$D3&lt;&gt;"")),"",VLOOKUP(A3,IF({1,0},INDIRECT("达修波得!$"&amp;$E$1&amp;"$2:$"&amp;$E$1&amp;"$14"),达修波得!$A$2:$A$14),2,FALSE))</f>
        <v/>
      </c>
      <c r="G3" s="21" t="str">
        <f ca="1">IF(OR(OR($A3="",$B3=""),AND($C3&lt;&gt;"",$D3&lt;&gt;"")),"",VLOOKUP(B3,IF({1,0},INDIRECT("达修波得!$"&amp;$E$1&amp;"$2:$"&amp;$E$1&amp;"$14"),达修波得!$A$2:$A$14),2,FALSE))</f>
        <v/>
      </c>
      <c r="H3" s="21" t="str">
        <f t="shared" ref="H3:H9" ca="1" si="0">F3&amp;G3</f>
        <v/>
      </c>
    </row>
    <row r="4" spans="1:8" x14ac:dyDescent="0.2">
      <c r="A4" s="4" t="s">
        <v>10</v>
      </c>
      <c r="F4" s="21" t="str">
        <f ca="1">IF(OR(OR($A4="",$B4=""),AND($C4&lt;&gt;"",$D4&lt;&gt;"")),"",VLOOKUP(A4,IF({1,0},INDIRECT("达修波得!$"&amp;$E$1&amp;"$2:$"&amp;$E$1&amp;"$14"),达修波得!$A$2:$A$14),2,FALSE))</f>
        <v/>
      </c>
      <c r="G4" s="21" t="str">
        <f ca="1">IF(OR(OR($A4="",$B4=""),AND($C4&lt;&gt;"",$D4&lt;&gt;"")),"",VLOOKUP(B4,IF({1,0},INDIRECT("达修波得!$"&amp;$E$1&amp;"$2:$"&amp;$E$1&amp;"$14"),达修波得!$A$2:$A$14),2,FALSE))</f>
        <v/>
      </c>
      <c r="H4" s="21" t="str">
        <f t="shared" ca="1" si="0"/>
        <v/>
      </c>
    </row>
    <row r="5" spans="1:8" x14ac:dyDescent="0.2">
      <c r="A5" t="s">
        <v>68</v>
      </c>
      <c r="B5" t="s">
        <v>71</v>
      </c>
      <c r="C5">
        <v>1</v>
      </c>
      <c r="D5">
        <v>3</v>
      </c>
      <c r="F5" s="21" t="str">
        <f ca="1">IF(OR(OR($A5="",$B5=""),AND($C5&lt;&gt;"",$D5&lt;&gt;"")),"",VLOOKUP(A5,IF({1,0},INDIRECT("达修波得!$"&amp;$E$1&amp;"$2:$"&amp;$E$1&amp;"$14"),达修波得!$A$2:$A$14),2,FALSE))</f>
        <v/>
      </c>
      <c r="G5" s="21" t="str">
        <f ca="1">IF(OR(OR($A5="",$B5=""),AND($C5&lt;&gt;"",$D5&lt;&gt;"")),"",VLOOKUP(B5,IF({1,0},INDIRECT("达修波得!$"&amp;$E$1&amp;"$2:$"&amp;$E$1&amp;"$14"),达修波得!$A$2:$A$14),2,FALSE))</f>
        <v/>
      </c>
      <c r="H5" s="21" t="str">
        <f t="shared" ca="1" si="0"/>
        <v/>
      </c>
    </row>
    <row r="6" spans="1:8" x14ac:dyDescent="0.2">
      <c r="A6" t="s">
        <v>69</v>
      </c>
      <c r="B6" t="s">
        <v>70</v>
      </c>
      <c r="C6">
        <v>1</v>
      </c>
      <c r="D6">
        <v>1</v>
      </c>
      <c r="F6" s="21" t="str">
        <f ca="1">IF(OR(OR($A6="",$B6=""),AND($C6&lt;&gt;"",$D6&lt;&gt;"")),"",VLOOKUP(A6,IF({1,0},INDIRECT("达修波得!$"&amp;$E$1&amp;"$2:$"&amp;$E$1&amp;"$14"),达修波得!$A$2:$A$14),2,FALSE))</f>
        <v/>
      </c>
      <c r="G6" s="21" t="str">
        <f ca="1">IF(OR(OR($A6="",$B6=""),AND($C6&lt;&gt;"",$D6&lt;&gt;"")),"",VLOOKUP(B6,IF({1,0},INDIRECT("达修波得!$"&amp;$E$1&amp;"$2:$"&amp;$E$1&amp;"$14"),达修波得!$A$2:$A$14),2,FALSE))</f>
        <v/>
      </c>
      <c r="H6" s="21" t="str">
        <f t="shared" ca="1" si="0"/>
        <v/>
      </c>
    </row>
    <row r="7" spans="1:8" x14ac:dyDescent="0.2">
      <c r="A7" s="4" t="s">
        <v>11</v>
      </c>
      <c r="F7" s="21" t="str">
        <f ca="1">IF(OR(OR($A7="",$B7=""),AND($C7&lt;&gt;"",$D7&lt;&gt;"")),"",VLOOKUP(A7,IF({1,0},INDIRECT("达修波得!$"&amp;$E$1&amp;"$2:$"&amp;$E$1&amp;"$14"),达修波得!$A$2:$A$14),2,FALSE))</f>
        <v/>
      </c>
      <c r="G7" s="21" t="str">
        <f ca="1">IF(OR(OR($A7="",$B7=""),AND($C7&lt;&gt;"",$D7&lt;&gt;"")),"",VLOOKUP(B7,IF({1,0},INDIRECT("达修波得!$"&amp;$E$1&amp;"$2:$"&amp;$E$1&amp;"$14"),达修波得!$A$2:$A$14),2,FALSE))</f>
        <v/>
      </c>
      <c r="H7" s="21" t="str">
        <f t="shared" ca="1" si="0"/>
        <v/>
      </c>
    </row>
    <row r="8" spans="1:8" x14ac:dyDescent="0.2">
      <c r="A8" t="s">
        <v>68</v>
      </c>
      <c r="B8" t="s">
        <v>70</v>
      </c>
      <c r="F8" s="21" t="str">
        <f ca="1">IF(OR(OR($A8="",$B8=""),AND($C8&lt;&gt;"",$D8&lt;&gt;"")),"",VLOOKUP(A8,IF({1,0},INDIRECT("达修波得!$"&amp;$E$1&amp;"$2:$"&amp;$E$1&amp;"$14"),达修波得!$A$2:$A$14),2,FALSE))</f>
        <v>黑</v>
      </c>
      <c r="G8" s="21" t="str">
        <f ca="1">IF(OR(OR($A8="",$B8=""),AND($C8&lt;&gt;"",$D8&lt;&gt;"")),"",VLOOKUP(B8,IF({1,0},INDIRECT("达修波得!$"&amp;$E$1&amp;"$2:$"&amp;$E$1&amp;"$14"),达修波得!$A$2:$A$14),2,FALSE))</f>
        <v>爷</v>
      </c>
      <c r="H8" s="21" t="str">
        <f t="shared" ca="1" si="0"/>
        <v>黑爷</v>
      </c>
    </row>
    <row r="9" spans="1:8" x14ac:dyDescent="0.2">
      <c r="A9" t="s">
        <v>71</v>
      </c>
      <c r="B9" t="s">
        <v>69</v>
      </c>
      <c r="C9">
        <v>1</v>
      </c>
      <c r="D9">
        <v>2</v>
      </c>
      <c r="F9" s="21" t="str">
        <f ca="1">IF(OR(OR($A9="",$B9=""),AND($C9&lt;&gt;"",$D9&lt;&gt;"")),"",VLOOKUP(A9,IF({1,0},INDIRECT("达修波得!$"&amp;$E$1&amp;"$2:$"&amp;$E$1&amp;"$14"),达修波得!$A$2:$A$14),2,FALSE))</f>
        <v/>
      </c>
      <c r="G9" s="21" t="str">
        <f ca="1">IF(OR(OR($A9="",$B9=""),AND($C9&lt;&gt;"",$D9&lt;&gt;"")),"",VLOOKUP(B9,IF({1,0},INDIRECT("达修波得!$"&amp;$E$1&amp;"$2:$"&amp;$E$1&amp;"$14"),达修波得!$A$2:$A$14),2,FALSE))</f>
        <v/>
      </c>
      <c r="H9" s="21" t="str">
        <f t="shared" ca="1" si="0"/>
        <v/>
      </c>
    </row>
    <row r="10" spans="1:8" x14ac:dyDescent="0.2">
      <c r="H10" s="21" t="str">
        <f t="shared" ref="H10:H14" si="1">F10&amp;G10</f>
        <v/>
      </c>
    </row>
    <row r="11" spans="1:8" x14ac:dyDescent="0.2">
      <c r="H11" s="21" t="str">
        <f t="shared" si="1"/>
        <v/>
      </c>
    </row>
    <row r="12" spans="1:8" x14ac:dyDescent="0.2">
      <c r="H12" s="21" t="str">
        <f t="shared" si="1"/>
        <v/>
      </c>
    </row>
    <row r="13" spans="1:8" x14ac:dyDescent="0.2">
      <c r="H13" s="21" t="str">
        <f t="shared" si="1"/>
        <v/>
      </c>
    </row>
    <row r="14" spans="1:8" x14ac:dyDescent="0.2">
      <c r="H14" s="21" t="str">
        <f t="shared" si="1"/>
        <v/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1:H14"/>
  <sheetViews>
    <sheetView workbookViewId="0">
      <selection activeCell="B12" sqref="B12"/>
    </sheetView>
  </sheetViews>
  <sheetFormatPr baseColWidth="10" defaultColWidth="8.83203125" defaultRowHeight="15" x14ac:dyDescent="0.2"/>
  <cols>
    <col min="1" max="2" width="15.1640625" bestFit="1" customWidth="1"/>
    <col min="3" max="4" width="2.5" bestFit="1" customWidth="1"/>
    <col min="6" max="6" width="5.83203125" style="21" bestFit="1" customWidth="1"/>
    <col min="7" max="7" width="6.5" style="21" customWidth="1"/>
    <col min="8" max="8" width="5.1640625" style="21" bestFit="1" customWidth="1"/>
  </cols>
  <sheetData>
    <row r="1" spans="1:8" x14ac:dyDescent="0.2">
      <c r="A1" s="4" t="s">
        <v>9</v>
      </c>
      <c r="C1" s="5" t="s">
        <v>2</v>
      </c>
      <c r="D1" s="5"/>
      <c r="E1" s="23" t="s">
        <v>28</v>
      </c>
      <c r="F1" s="21" t="str">
        <f ca="1">IF(OR(OR($A1="",$B1=""),AND($C1&lt;&gt;"",$D1&lt;&gt;"")),"",VLOOKUP(A1,IF({1,0},INDIRECT("达修波得!$"&amp;$E$1&amp;"$2:$"&amp;$E$1&amp;"$8"),达修波得!$A$2:$A$8),2,FALSE))</f>
        <v/>
      </c>
      <c r="G1" s="21" t="str">
        <f ca="1">IF(OR(OR($A1="",$B1=""),AND($C1&lt;&gt;"",$D1&lt;&gt;"")),"",VLOOKUP(B1,IF({1,0},INDIRECT("达修波得!$"&amp;$E$1&amp;"$2:$"&amp;$E$1&amp;"$8"),达修波得!$A$2:$A$8),2,FALSE))</f>
        <v/>
      </c>
      <c r="H1" s="21" t="str">
        <f ca="1">F1&amp;G1</f>
        <v/>
      </c>
    </row>
    <row r="2" spans="1:8" x14ac:dyDescent="0.2">
      <c r="A2" t="s">
        <v>72</v>
      </c>
      <c r="B2" t="s">
        <v>73</v>
      </c>
      <c r="F2" s="21" t="str">
        <f ca="1">IF(OR(OR($A2="",$B2=""),AND($C2&lt;&gt;"",$D2&lt;&gt;"")),"",VLOOKUP(A2,IF({1,0},INDIRECT("达修波得!$"&amp;$E$1&amp;"$2:$"&amp;$E$1&amp;"$14"),达修波得!$A$2:$A$14),2,FALSE))</f>
        <v>二</v>
      </c>
      <c r="G2" s="21" t="str">
        <f ca="1">IF(OR(OR($A2="",$B2=""),AND($C2&lt;&gt;"",$D2&lt;&gt;"")),"",VLOOKUP(B2,IF({1,0},INDIRECT("达修波得!$"&amp;$E$1&amp;"$2:$"&amp;$E$1&amp;"$14"),达修波得!$A$2:$A$14),2,FALSE))</f>
        <v>宇</v>
      </c>
      <c r="H2" s="21" t="str">
        <f ca="1">F2&amp;G2</f>
        <v>二宇</v>
      </c>
    </row>
    <row r="3" spans="1:8" x14ac:dyDescent="0.2">
      <c r="A3" s="1" t="s">
        <v>74</v>
      </c>
      <c r="B3" t="s">
        <v>75</v>
      </c>
      <c r="F3" s="21" t="str">
        <f ca="1">IF(OR(OR($A3="",$B3=""),AND($C3&lt;&gt;"",$D3&lt;&gt;"")),"",VLOOKUP(A3,IF({1,0},INDIRECT("达修波得!$"&amp;$E$1&amp;"$2:$"&amp;$E$1&amp;"$14"),达修波得!$A$2:$A$14),2,FALSE))</f>
        <v>二</v>
      </c>
      <c r="G3" s="21" t="str">
        <f ca="1">IF(OR(OR($A3="",$B3=""),AND($C3&lt;&gt;"",$D3&lt;&gt;"")),"",VLOOKUP(B3,IF({1,0},INDIRECT("达修波得!$"&amp;$E$1&amp;"$2:$"&amp;$E$1&amp;"$14"),达修波得!$A$2:$A$14),2,FALSE))</f>
        <v>爷</v>
      </c>
      <c r="H3" s="21" t="str">
        <f t="shared" ref="H3:H9" ca="1" si="0">F3&amp;G3</f>
        <v>二爷</v>
      </c>
    </row>
    <row r="4" spans="1:8" x14ac:dyDescent="0.2">
      <c r="A4" s="4" t="s">
        <v>10</v>
      </c>
      <c r="F4" s="21" t="str">
        <f ca="1">IF(OR(OR($A4="",$B4=""),AND($C4&lt;&gt;"",$D4&lt;&gt;"")),"",VLOOKUP(A4,IF({1,0},INDIRECT("达修波得!$"&amp;$E$1&amp;"$2:$"&amp;$E$1&amp;"$14"),达修波得!$A$2:$A$14),2,FALSE))</f>
        <v/>
      </c>
      <c r="G4" s="21" t="str">
        <f ca="1">IF(OR(OR($A4="",$B4=""),AND($C4&lt;&gt;"",$D4&lt;&gt;"")),"",VLOOKUP(B4,IF({1,0},INDIRECT("达修波得!$"&amp;$E$1&amp;"$2:$"&amp;$E$1&amp;"$14"),达修波得!$A$2:$A$14),2,FALSE))</f>
        <v/>
      </c>
      <c r="H4" s="21" t="str">
        <f t="shared" ca="1" si="0"/>
        <v/>
      </c>
    </row>
    <row r="5" spans="1:8" x14ac:dyDescent="0.2">
      <c r="A5" t="s">
        <v>72</v>
      </c>
      <c r="B5" t="s">
        <v>75</v>
      </c>
      <c r="F5" s="21" t="str">
        <f ca="1">IF(OR(OR($A5="",$B5=""),AND($C5&lt;&gt;"",$D5&lt;&gt;"")),"",VLOOKUP(A5,IF({1,0},INDIRECT("达修波得!$"&amp;$E$1&amp;"$2:$"&amp;$E$1&amp;"$14"),达修波得!$A$2:$A$14),2,FALSE))</f>
        <v>二</v>
      </c>
      <c r="G5" s="21" t="str">
        <f ca="1">IF(OR(OR($A5="",$B5=""),AND($C5&lt;&gt;"",$D5&lt;&gt;"")),"",VLOOKUP(B5,IF({1,0},INDIRECT("达修波得!$"&amp;$E$1&amp;"$2:$"&amp;$E$1&amp;"$14"),达修波得!$A$2:$A$14),2,FALSE))</f>
        <v>爷</v>
      </c>
      <c r="H5" s="21" t="str">
        <f t="shared" ca="1" si="0"/>
        <v>二爷</v>
      </c>
    </row>
    <row r="6" spans="1:8" x14ac:dyDescent="0.2">
      <c r="A6" t="s">
        <v>73</v>
      </c>
      <c r="B6" t="s">
        <v>74</v>
      </c>
      <c r="F6" s="21" t="str">
        <f ca="1">IF(OR(OR($A6="",$B6=""),AND($C6&lt;&gt;"",$D6&lt;&gt;"")),"",VLOOKUP(A6,IF({1,0},INDIRECT("达修波得!$"&amp;$E$1&amp;"$2:$"&amp;$E$1&amp;"$14"),达修波得!$A$2:$A$14),2,FALSE))</f>
        <v>宇</v>
      </c>
      <c r="G6" s="21" t="str">
        <f ca="1">IF(OR(OR($A6="",$B6=""),AND($C6&lt;&gt;"",$D6&lt;&gt;"")),"",VLOOKUP(B6,IF({1,0},INDIRECT("达修波得!$"&amp;$E$1&amp;"$2:$"&amp;$E$1&amp;"$14"),达修波得!$A$2:$A$14),2,FALSE))</f>
        <v>二</v>
      </c>
      <c r="H6" s="21" t="str">
        <f t="shared" ca="1" si="0"/>
        <v>宇二</v>
      </c>
    </row>
    <row r="7" spans="1:8" x14ac:dyDescent="0.2">
      <c r="A7" s="4" t="s">
        <v>11</v>
      </c>
      <c r="F7" s="21" t="str">
        <f ca="1">IF(OR(OR($A7="",$B7=""),AND($C7&lt;&gt;"",$D7&lt;&gt;"")),"",VLOOKUP(A7,IF({1,0},INDIRECT("达修波得!$"&amp;$E$1&amp;"$2:$"&amp;$E$1&amp;"$14"),达修波得!$A$2:$A$14),2,FALSE))</f>
        <v/>
      </c>
      <c r="G7" s="21" t="str">
        <f ca="1">IF(OR(OR($A7="",$B7=""),AND($C7&lt;&gt;"",$D7&lt;&gt;"")),"",VLOOKUP(B7,IF({1,0},INDIRECT("达修波得!$"&amp;$E$1&amp;"$2:$"&amp;$E$1&amp;"$14"),达修波得!$A$2:$A$14),2,FALSE))</f>
        <v/>
      </c>
      <c r="H7" s="21" t="str">
        <f t="shared" ca="1" si="0"/>
        <v/>
      </c>
    </row>
    <row r="8" spans="1:8" x14ac:dyDescent="0.2">
      <c r="A8" t="s">
        <v>72</v>
      </c>
      <c r="B8" t="s">
        <v>74</v>
      </c>
      <c r="F8" s="21" t="str">
        <f ca="1">IF(OR(OR($A8="",$B8=""),AND($C8&lt;&gt;"",$D8&lt;&gt;"")),"",VLOOKUP(A8,IF({1,0},INDIRECT("达修波得!$"&amp;$E$1&amp;"$2:$"&amp;$E$1&amp;"$14"),达修波得!$A$2:$A$14),2,FALSE))</f>
        <v>二</v>
      </c>
      <c r="G8" s="21" t="str">
        <f ca="1">IF(OR(OR($A8="",$B8=""),AND($C8&lt;&gt;"",$D8&lt;&gt;"")),"",VLOOKUP(B8,IF({1,0},INDIRECT("达修波得!$"&amp;$E$1&amp;"$2:$"&amp;$E$1&amp;"$14"),达修波得!$A$2:$A$14),2,FALSE))</f>
        <v>二</v>
      </c>
      <c r="H8" s="21" t="str">
        <f t="shared" ca="1" si="0"/>
        <v>二二</v>
      </c>
    </row>
    <row r="9" spans="1:8" x14ac:dyDescent="0.2">
      <c r="A9" t="s">
        <v>75</v>
      </c>
      <c r="B9" t="s">
        <v>73</v>
      </c>
      <c r="C9">
        <v>1</v>
      </c>
      <c r="D9">
        <v>0</v>
      </c>
      <c r="F9" s="21" t="str">
        <f ca="1">IF(OR(OR($A9="",$B9=""),AND($C9&lt;&gt;"",$D9&lt;&gt;"")),"",VLOOKUP(A9,IF({1,0},INDIRECT("达修波得!$"&amp;$E$1&amp;"$2:$"&amp;$E$1&amp;"$14"),达修波得!$A$2:$A$14),2,FALSE))</f>
        <v/>
      </c>
      <c r="G9" s="21" t="str">
        <f ca="1">IF(OR(OR($A9="",$B9=""),AND($C9&lt;&gt;"",$D9&lt;&gt;"")),"",VLOOKUP(B9,IF({1,0},INDIRECT("达修波得!$"&amp;$E$1&amp;"$2:$"&amp;$E$1&amp;"$14"),达修波得!$A$2:$A$14),2,FALSE))</f>
        <v/>
      </c>
      <c r="H9" s="21" t="str">
        <f t="shared" ca="1" si="0"/>
        <v/>
      </c>
    </row>
    <row r="10" spans="1:8" x14ac:dyDescent="0.2">
      <c r="H10" s="21" t="str">
        <f t="shared" ref="H10:H14" si="1">F10&amp;G10</f>
        <v/>
      </c>
    </row>
    <row r="11" spans="1:8" x14ac:dyDescent="0.2">
      <c r="H11" s="21" t="str">
        <f t="shared" si="1"/>
        <v/>
      </c>
    </row>
    <row r="12" spans="1:8" x14ac:dyDescent="0.2">
      <c r="H12" s="21" t="str">
        <f t="shared" si="1"/>
        <v/>
      </c>
    </row>
    <row r="13" spans="1:8" x14ac:dyDescent="0.2">
      <c r="H13" s="21" t="str">
        <f t="shared" si="1"/>
        <v/>
      </c>
    </row>
    <row r="14" spans="1:8" x14ac:dyDescent="0.2">
      <c r="H14" s="21" t="str">
        <f t="shared" si="1"/>
        <v/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H14"/>
  <sheetViews>
    <sheetView workbookViewId="0">
      <selection activeCell="H8" sqref="H8"/>
    </sheetView>
  </sheetViews>
  <sheetFormatPr baseColWidth="10" defaultColWidth="8.83203125" defaultRowHeight="15" x14ac:dyDescent="0.2"/>
  <cols>
    <col min="1" max="2" width="15.1640625" bestFit="1" customWidth="1"/>
    <col min="3" max="4" width="2.5" bestFit="1" customWidth="1"/>
    <col min="6" max="6" width="5.83203125" style="21" bestFit="1" customWidth="1"/>
    <col min="7" max="7" width="6.5" style="21" customWidth="1"/>
    <col min="8" max="8" width="5.1640625" style="21" bestFit="1" customWidth="1"/>
  </cols>
  <sheetData>
    <row r="1" spans="1:8" x14ac:dyDescent="0.2">
      <c r="A1" s="4" t="s">
        <v>9</v>
      </c>
      <c r="C1" s="5" t="s">
        <v>2</v>
      </c>
      <c r="D1" s="5"/>
      <c r="E1" s="23" t="s">
        <v>30</v>
      </c>
      <c r="F1" s="21" t="str">
        <f ca="1">IF(OR(OR($A1="",$B1=""),AND($C1&lt;&gt;"",$D1&lt;&gt;"")),"",VLOOKUP(A1,IF({1,0},INDIRECT("达修波得!$"&amp;$E$1&amp;"$2:$"&amp;$E$1&amp;"$8"),达修波得!$A$2:$A$8),2,FALSE))</f>
        <v/>
      </c>
      <c r="G1" s="21" t="str">
        <f ca="1">IF(OR(OR($A1="",$B1=""),AND($C1&lt;&gt;"",$D1&lt;&gt;"")),"",VLOOKUP(B1,IF({1,0},INDIRECT("达修波得!$"&amp;$E$1&amp;"$2:$"&amp;$E$1&amp;"$8"),达修波得!$A$2:$A$8),2,FALSE))</f>
        <v/>
      </c>
      <c r="H1" s="21" t="str">
        <f ca="1">F1&amp;G1</f>
        <v/>
      </c>
    </row>
    <row r="2" spans="1:8" x14ac:dyDescent="0.2">
      <c r="A2" t="s">
        <v>76</v>
      </c>
      <c r="B2" t="s">
        <v>77</v>
      </c>
      <c r="F2" s="21" t="str">
        <f ca="1">IF(OR(OR($A2="",$B2=""),AND($C2&lt;&gt;"",$D2&lt;&gt;"")),"",VLOOKUP(A2,IF({1,0},INDIRECT("达修波得!$"&amp;$E$1&amp;"$2:$"&amp;$E$1&amp;"$14"),达修波得!$A$2:$A$14),2,FALSE))</f>
        <v>七</v>
      </c>
      <c r="G2" s="21" t="str">
        <f ca="1">IF(OR(OR($A2="",$B2=""),AND($C2&lt;&gt;"",$D2&lt;&gt;"")),"",VLOOKUP(B2,IF({1,0},INDIRECT("达修波得!$"&amp;$E$1&amp;"$2:$"&amp;$E$1&amp;"$14"),达修波得!$A$2:$A$14),2,FALSE))</f>
        <v>二</v>
      </c>
      <c r="H2" s="21" t="str">
        <f ca="1">F2&amp;G2</f>
        <v>七二</v>
      </c>
    </row>
    <row r="3" spans="1:8" x14ac:dyDescent="0.2">
      <c r="A3" s="1" t="s">
        <v>78</v>
      </c>
      <c r="B3" t="s">
        <v>79</v>
      </c>
      <c r="C3">
        <v>1</v>
      </c>
      <c r="D3">
        <v>0</v>
      </c>
      <c r="F3" s="21" t="str">
        <f ca="1">IF(OR(OR($A3="",$B3=""),AND($C3&lt;&gt;"",$D3&lt;&gt;"")),"",VLOOKUP(A3,IF({1,0},INDIRECT("达修波得!$"&amp;$E$1&amp;"$2:$"&amp;$E$1&amp;"$14"),达修波得!$A$2:$A$14),2,FALSE))</f>
        <v/>
      </c>
      <c r="G3" s="21" t="str">
        <f ca="1">IF(OR(OR($A3="",$B3=""),AND($C3&lt;&gt;"",$D3&lt;&gt;"")),"",VLOOKUP(B3,IF({1,0},INDIRECT("达修波得!$"&amp;$E$1&amp;"$2:$"&amp;$E$1&amp;"$14"),达修波得!$A$2:$A$14),2,FALSE))</f>
        <v/>
      </c>
      <c r="H3" s="21" t="str">
        <f t="shared" ref="H3:H9" ca="1" si="0">F3&amp;G3</f>
        <v/>
      </c>
    </row>
    <row r="4" spans="1:8" x14ac:dyDescent="0.2">
      <c r="A4" s="4" t="s">
        <v>10</v>
      </c>
      <c r="F4" s="21" t="str">
        <f ca="1">IF(OR(OR($A4="",$B4=""),AND($C4&lt;&gt;"",$D4&lt;&gt;"")),"",VLOOKUP(A4,IF({1,0},INDIRECT("达修波得!$"&amp;$E$1&amp;"$2:$"&amp;$E$1&amp;"$14"),达修波得!$A$2:$A$14),2,FALSE))</f>
        <v/>
      </c>
      <c r="G4" s="21" t="str">
        <f ca="1">IF(OR(OR($A4="",$B4=""),AND($C4&lt;&gt;"",$D4&lt;&gt;"")),"",VLOOKUP(B4,IF({1,0},INDIRECT("达修波得!$"&amp;$E$1&amp;"$2:$"&amp;$E$1&amp;"$14"),达修波得!$A$2:$A$14),2,FALSE))</f>
        <v/>
      </c>
      <c r="H4" s="21" t="str">
        <f t="shared" ca="1" si="0"/>
        <v/>
      </c>
    </row>
    <row r="5" spans="1:8" x14ac:dyDescent="0.2">
      <c r="A5" t="s">
        <v>76</v>
      </c>
      <c r="B5" t="s">
        <v>79</v>
      </c>
      <c r="C5">
        <v>2</v>
      </c>
      <c r="D5">
        <v>2</v>
      </c>
      <c r="F5" s="21" t="str">
        <f ca="1">IF(OR(OR($A5="",$B5=""),AND($C5&lt;&gt;"",$D5&lt;&gt;"")),"",VLOOKUP(A5,IF({1,0},INDIRECT("达修波得!$"&amp;$E$1&amp;"$2:$"&amp;$E$1&amp;"$14"),达修波得!$A$2:$A$14),2,FALSE))</f>
        <v/>
      </c>
      <c r="G5" s="21" t="str">
        <f ca="1">IF(OR(OR($A5="",$B5=""),AND($C5&lt;&gt;"",$D5&lt;&gt;"")),"",VLOOKUP(B5,IF({1,0},INDIRECT("达修波得!$"&amp;$E$1&amp;"$2:$"&amp;$E$1&amp;"$14"),达修波得!$A$2:$A$14),2,FALSE))</f>
        <v/>
      </c>
      <c r="H5" s="21" t="str">
        <f t="shared" ca="1" si="0"/>
        <v/>
      </c>
    </row>
    <row r="6" spans="1:8" x14ac:dyDescent="0.2">
      <c r="A6" t="s">
        <v>77</v>
      </c>
      <c r="B6" t="s">
        <v>78</v>
      </c>
      <c r="F6" s="21" t="str">
        <f ca="1">IF(OR(OR($A6="",$B6=""),AND($C6&lt;&gt;"",$D6&lt;&gt;"")),"",VLOOKUP(A6,IF({1,0},INDIRECT("达修波得!$"&amp;$E$1&amp;"$2:$"&amp;$E$1&amp;"$14"),达修波得!$A$2:$A$14),2,FALSE))</f>
        <v>二</v>
      </c>
      <c r="G6" s="21" t="str">
        <f ca="1">IF(OR(OR($A6="",$B6=""),AND($C6&lt;&gt;"",$D6&lt;&gt;"")),"",VLOOKUP(B6,IF({1,0},INDIRECT("达修波得!$"&amp;$E$1&amp;"$2:$"&amp;$E$1&amp;"$14"),达修波得!$A$2:$A$14),2,FALSE))</f>
        <v>磊</v>
      </c>
      <c r="H6" s="21" t="str">
        <f t="shared" ca="1" si="0"/>
        <v>二磊</v>
      </c>
    </row>
    <row r="7" spans="1:8" x14ac:dyDescent="0.2">
      <c r="A7" s="4" t="s">
        <v>11</v>
      </c>
      <c r="F7" s="21" t="str">
        <f ca="1">IF(OR(OR($A7="",$B7=""),AND($C7&lt;&gt;"",$D7&lt;&gt;"")),"",VLOOKUP(A7,IF({1,0},INDIRECT("达修波得!$"&amp;$E$1&amp;"$2:$"&amp;$E$1&amp;"$14"),达修波得!$A$2:$A$14),2,FALSE))</f>
        <v/>
      </c>
      <c r="G7" s="21" t="str">
        <f ca="1">IF(OR(OR($A7="",$B7=""),AND($C7&lt;&gt;"",$D7&lt;&gt;"")),"",VLOOKUP(B7,IF({1,0},INDIRECT("达修波得!$"&amp;$E$1&amp;"$2:$"&amp;$E$1&amp;"$14"),达修波得!$A$2:$A$14),2,FALSE))</f>
        <v/>
      </c>
      <c r="H7" s="21" t="str">
        <f t="shared" ca="1" si="0"/>
        <v/>
      </c>
    </row>
    <row r="8" spans="1:8" x14ac:dyDescent="0.2">
      <c r="A8" t="s">
        <v>76</v>
      </c>
      <c r="B8" t="s">
        <v>78</v>
      </c>
      <c r="C8">
        <v>2</v>
      </c>
      <c r="D8">
        <v>2</v>
      </c>
      <c r="F8" s="21" t="str">
        <f ca="1">IF(OR(OR($A8="",$B8=""),AND($C8&lt;&gt;"",$D8&lt;&gt;"")),"",VLOOKUP(A8,IF({1,0},INDIRECT("达修波得!$"&amp;$E$1&amp;"$2:$"&amp;$E$1&amp;"$14"),达修波得!$A$2:$A$14),2,FALSE))</f>
        <v/>
      </c>
      <c r="G8" s="21" t="str">
        <f ca="1">IF(OR(OR($A8="",$B8=""),AND($C8&lt;&gt;"",$D8&lt;&gt;"")),"",VLOOKUP(B8,IF({1,0},INDIRECT("达修波得!$"&amp;$E$1&amp;"$2:$"&amp;$E$1&amp;"$14"),达修波得!$A$2:$A$14),2,FALSE))</f>
        <v/>
      </c>
      <c r="H8" s="21" t="str">
        <f t="shared" ca="1" si="0"/>
        <v/>
      </c>
    </row>
    <row r="9" spans="1:8" x14ac:dyDescent="0.2">
      <c r="A9" t="s">
        <v>79</v>
      </c>
      <c r="B9" t="s">
        <v>77</v>
      </c>
      <c r="C9">
        <v>2</v>
      </c>
      <c r="D9">
        <v>1</v>
      </c>
      <c r="F9" s="21" t="str">
        <f ca="1">IF(OR(OR($A9="",$B9=""),AND($C9&lt;&gt;"",$D9&lt;&gt;"")),"",VLOOKUP(A9,IF({1,0},INDIRECT("达修波得!$"&amp;$E$1&amp;"$2:$"&amp;$E$1&amp;"$14"),达修波得!$A$2:$A$14),2,FALSE))</f>
        <v/>
      </c>
      <c r="G9" s="21" t="str">
        <f ca="1">IF(OR(OR($A9="",$B9=""),AND($C9&lt;&gt;"",$D9&lt;&gt;"")),"",VLOOKUP(B9,IF({1,0},INDIRECT("达修波得!$"&amp;$E$1&amp;"$2:$"&amp;$E$1&amp;"$14"),达修波得!$A$2:$A$14),2,FALSE))</f>
        <v/>
      </c>
      <c r="H9" s="21" t="str">
        <f t="shared" ca="1" si="0"/>
        <v/>
      </c>
    </row>
    <row r="10" spans="1:8" x14ac:dyDescent="0.2">
      <c r="H10" s="21" t="str">
        <f t="shared" ref="H10:H14" si="1">F10&amp;G10</f>
        <v/>
      </c>
    </row>
    <row r="11" spans="1:8" x14ac:dyDescent="0.2">
      <c r="H11" s="21" t="str">
        <f t="shared" si="1"/>
        <v/>
      </c>
    </row>
    <row r="12" spans="1:8" x14ac:dyDescent="0.2">
      <c r="H12" s="21" t="str">
        <f t="shared" si="1"/>
        <v/>
      </c>
    </row>
    <row r="13" spans="1:8" x14ac:dyDescent="0.2">
      <c r="H13" s="21" t="str">
        <f t="shared" si="1"/>
        <v/>
      </c>
    </row>
    <row r="14" spans="1:8" x14ac:dyDescent="0.2">
      <c r="H14" s="21" t="str">
        <f t="shared" si="1"/>
        <v/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H14"/>
  <sheetViews>
    <sheetView workbookViewId="0">
      <selection activeCell="D11" sqref="D11"/>
    </sheetView>
  </sheetViews>
  <sheetFormatPr baseColWidth="10" defaultColWidth="8.83203125" defaultRowHeight="15" x14ac:dyDescent="0.2"/>
  <cols>
    <col min="1" max="2" width="15.1640625" bestFit="1" customWidth="1"/>
    <col min="3" max="4" width="2.5" bestFit="1" customWidth="1"/>
    <col min="6" max="6" width="5.83203125" style="21" bestFit="1" customWidth="1"/>
    <col min="7" max="7" width="6.5" style="21" customWidth="1"/>
    <col min="8" max="8" width="5.1640625" style="21" bestFit="1" customWidth="1"/>
  </cols>
  <sheetData>
    <row r="1" spans="1:8" x14ac:dyDescent="0.2">
      <c r="A1" s="4" t="s">
        <v>9</v>
      </c>
      <c r="C1" s="5" t="s">
        <v>2</v>
      </c>
      <c r="D1" s="5"/>
      <c r="E1" s="23" t="s">
        <v>84</v>
      </c>
      <c r="F1" s="21" t="str">
        <f ca="1">IF(OR(OR($A1="",$B1=""),AND($C1&lt;&gt;"",$D1&lt;&gt;"")),"",VLOOKUP(A1,IF({1,0},INDIRECT("达修波得!$"&amp;$E$1&amp;"$2:$"&amp;$E$1&amp;"$8"),达修波得!$A$2:$A$8),2,FALSE))</f>
        <v/>
      </c>
      <c r="G1" s="21" t="str">
        <f ca="1">IF(OR(OR($A1="",$B1=""),AND($C1&lt;&gt;"",$D1&lt;&gt;"")),"",VLOOKUP(B1,IF({1,0},INDIRECT("达修波得!$"&amp;$E$1&amp;"$2:$"&amp;$E$1&amp;"$8"),达修波得!$A$2:$A$8),2,FALSE))</f>
        <v/>
      </c>
      <c r="H1" s="21" t="str">
        <f ca="1">F1&amp;G1</f>
        <v/>
      </c>
    </row>
    <row r="2" spans="1:8" x14ac:dyDescent="0.2">
      <c r="A2" t="s">
        <v>80</v>
      </c>
      <c r="B2" t="s">
        <v>81</v>
      </c>
      <c r="C2">
        <v>2</v>
      </c>
      <c r="D2">
        <v>2</v>
      </c>
      <c r="F2" s="21" t="str">
        <f ca="1">IF(OR(OR($A2="",$B2=""),AND($C2&lt;&gt;"",$D2&lt;&gt;"")),"",VLOOKUP(A2,IF({1,0},INDIRECT("达修波得!$"&amp;$E$1&amp;"$2:$"&amp;$E$1&amp;"$14"),达修波得!$A$2:$A$14),2,FALSE))</f>
        <v/>
      </c>
      <c r="G2" s="21" t="str">
        <f ca="1">IF(OR(OR($A2="",$B2=""),AND($C2&lt;&gt;"",$D2&lt;&gt;"")),"",VLOOKUP(B2,IF({1,0},INDIRECT("达修波得!$"&amp;$E$1&amp;"$2:$"&amp;$E$1&amp;"$14"),达修波得!$A$2:$A$14),2,FALSE))</f>
        <v/>
      </c>
      <c r="H2" s="21" t="str">
        <f ca="1">F2&amp;G2</f>
        <v/>
      </c>
    </row>
    <row r="3" spans="1:8" x14ac:dyDescent="0.2">
      <c r="A3" s="1" t="s">
        <v>82</v>
      </c>
      <c r="B3" t="s">
        <v>83</v>
      </c>
      <c r="F3" s="21" t="str">
        <f ca="1">IF(OR(OR($A3="",$B3=""),AND($C3&lt;&gt;"",$D3&lt;&gt;"")),"",VLOOKUP(A3,IF({1,0},INDIRECT("达修波得!$"&amp;$E$1&amp;"$2:$"&amp;$E$1&amp;"$14"),达修波得!$A$2:$A$14),2,FALSE))</f>
        <v>爷</v>
      </c>
      <c r="G3" s="21" t="str">
        <f ca="1">IF(OR(OR($A3="",$B3=""),AND($C3&lt;&gt;"",$D3&lt;&gt;"")),"",VLOOKUP(B3,IF({1,0},INDIRECT("达修波得!$"&amp;$E$1&amp;"$2:$"&amp;$E$1&amp;"$14"),达修波得!$A$2:$A$14),2,FALSE))</f>
        <v>七</v>
      </c>
      <c r="H3" s="21" t="str">
        <f t="shared" ref="H3:H9" ca="1" si="0">F3&amp;G3</f>
        <v>爷七</v>
      </c>
    </row>
    <row r="4" spans="1:8" x14ac:dyDescent="0.2">
      <c r="A4" s="4" t="s">
        <v>10</v>
      </c>
      <c r="F4" s="21" t="str">
        <f ca="1">IF(OR(OR($A4="",$B4=""),AND($C4&lt;&gt;"",$D4&lt;&gt;"")),"",VLOOKUP(A4,IF({1,0},INDIRECT("达修波得!$"&amp;$E$1&amp;"$2:$"&amp;$E$1&amp;"$14"),达修波得!$A$2:$A$14),2,FALSE))</f>
        <v/>
      </c>
      <c r="G4" s="21" t="str">
        <f ca="1">IF(OR(OR($A4="",$B4=""),AND($C4&lt;&gt;"",$D4&lt;&gt;"")),"",VLOOKUP(B4,IF({1,0},INDIRECT("达修波得!$"&amp;$E$1&amp;"$2:$"&amp;$E$1&amp;"$14"),达修波得!$A$2:$A$14),2,FALSE))</f>
        <v/>
      </c>
      <c r="H4" s="21" t="str">
        <f t="shared" ca="1" si="0"/>
        <v/>
      </c>
    </row>
    <row r="5" spans="1:8" x14ac:dyDescent="0.2">
      <c r="A5" t="s">
        <v>80</v>
      </c>
      <c r="B5" t="s">
        <v>83</v>
      </c>
      <c r="F5" s="21" t="str">
        <f ca="1">IF(OR(OR($A5="",$B5=""),AND($C5&lt;&gt;"",$D5&lt;&gt;"")),"",VLOOKUP(A5,IF({1,0},INDIRECT("达修波得!$"&amp;$E$1&amp;"$2:$"&amp;$E$1&amp;"$14"),达修波得!$A$2:$A$14),2,FALSE))</f>
        <v>贝</v>
      </c>
      <c r="G5" s="21" t="str">
        <f ca="1">IF(OR(OR($A5="",$B5=""),AND($C5&lt;&gt;"",$D5&lt;&gt;"")),"",VLOOKUP(B5,IF({1,0},INDIRECT("达修波得!$"&amp;$E$1&amp;"$2:$"&amp;$E$1&amp;"$14"),达修波得!$A$2:$A$14),2,FALSE))</f>
        <v>七</v>
      </c>
      <c r="H5" s="21" t="str">
        <f t="shared" ca="1" si="0"/>
        <v>贝七</v>
      </c>
    </row>
    <row r="6" spans="1:8" x14ac:dyDescent="0.2">
      <c r="A6" t="s">
        <v>81</v>
      </c>
      <c r="B6" t="s">
        <v>82</v>
      </c>
      <c r="C6">
        <v>1</v>
      </c>
      <c r="D6">
        <v>0</v>
      </c>
      <c r="F6" s="21" t="str">
        <f ca="1">IF(OR(OR($A6="",$B6=""),AND($C6&lt;&gt;"",$D6&lt;&gt;"")),"",VLOOKUP(A6,IF({1,0},INDIRECT("达修波得!$"&amp;$E$1&amp;"$2:$"&amp;$E$1&amp;"$14"),达修波得!$A$2:$A$14),2,FALSE))</f>
        <v/>
      </c>
      <c r="G6" s="21" t="str">
        <f ca="1">IF(OR(OR($A6="",$B6=""),AND($C6&lt;&gt;"",$D6&lt;&gt;"")),"",VLOOKUP(B6,IF({1,0},INDIRECT("达修波得!$"&amp;$E$1&amp;"$2:$"&amp;$E$1&amp;"$14"),达修波得!$A$2:$A$14),2,FALSE))</f>
        <v/>
      </c>
      <c r="H6" s="21" t="str">
        <f t="shared" ca="1" si="0"/>
        <v/>
      </c>
    </row>
    <row r="7" spans="1:8" x14ac:dyDescent="0.2">
      <c r="A7" s="4" t="s">
        <v>11</v>
      </c>
      <c r="F7" s="21" t="str">
        <f ca="1">IF(OR(OR($A7="",$B7=""),AND($C7&lt;&gt;"",$D7&lt;&gt;"")),"",VLOOKUP(A7,IF({1,0},INDIRECT("达修波得!$"&amp;$E$1&amp;"$2:$"&amp;$E$1&amp;"$14"),达修波得!$A$2:$A$14),2,FALSE))</f>
        <v/>
      </c>
      <c r="G7" s="21" t="str">
        <f ca="1">IF(OR(OR($A7="",$B7=""),AND($C7&lt;&gt;"",$D7&lt;&gt;"")),"",VLOOKUP(B7,IF({1,0},INDIRECT("达修波得!$"&amp;$E$1&amp;"$2:$"&amp;$E$1&amp;"$14"),达修波得!$A$2:$A$14),2,FALSE))</f>
        <v/>
      </c>
      <c r="H7" s="21" t="str">
        <f t="shared" ca="1" si="0"/>
        <v/>
      </c>
    </row>
    <row r="8" spans="1:8" x14ac:dyDescent="0.2">
      <c r="A8" t="s">
        <v>80</v>
      </c>
      <c r="B8" t="s">
        <v>82</v>
      </c>
      <c r="F8" s="21" t="str">
        <f ca="1">IF(OR(OR($A8="",$B8=""),AND($C8&lt;&gt;"",$D8&lt;&gt;"")),"",VLOOKUP(A8,IF({1,0},INDIRECT("达修波得!$"&amp;$E$1&amp;"$2:$"&amp;$E$1&amp;"$14"),达修波得!$A$2:$A$14),2,FALSE))</f>
        <v>贝</v>
      </c>
      <c r="G8" s="21" t="str">
        <f ca="1">IF(OR(OR($A8="",$B8=""),AND($C8&lt;&gt;"",$D8&lt;&gt;"")),"",VLOOKUP(B8,IF({1,0},INDIRECT("达修波得!$"&amp;$E$1&amp;"$2:$"&amp;$E$1&amp;"$14"),达修波得!$A$2:$A$14),2,FALSE))</f>
        <v>爷</v>
      </c>
      <c r="H8" s="21" t="str">
        <f t="shared" ca="1" si="0"/>
        <v>贝爷</v>
      </c>
    </row>
    <row r="9" spans="1:8" x14ac:dyDescent="0.2">
      <c r="A9" t="s">
        <v>83</v>
      </c>
      <c r="B9" t="s">
        <v>81</v>
      </c>
      <c r="C9">
        <v>0</v>
      </c>
      <c r="D9">
        <v>0</v>
      </c>
      <c r="F9" s="21" t="str">
        <f ca="1">IF(OR(OR($A9="",$B9=""),AND($C9&lt;&gt;"",$D9&lt;&gt;"")),"",VLOOKUP(A9,IF({1,0},INDIRECT("达修波得!$"&amp;$E$1&amp;"$2:$"&amp;$E$1&amp;"$14"),达修波得!$A$2:$A$14),2,FALSE))</f>
        <v/>
      </c>
      <c r="G9" s="21" t="str">
        <f ca="1">IF(OR(OR($A9="",$B9=""),AND($C9&lt;&gt;"",$D9&lt;&gt;"")),"",VLOOKUP(B9,IF({1,0},INDIRECT("达修波得!$"&amp;$E$1&amp;"$2:$"&amp;$E$1&amp;"$14"),达修波得!$A$2:$A$14),2,FALSE))</f>
        <v/>
      </c>
      <c r="H9" s="21" t="str">
        <f t="shared" ca="1" si="0"/>
        <v/>
      </c>
    </row>
    <row r="10" spans="1:8" x14ac:dyDescent="0.2">
      <c r="H10" s="21" t="str">
        <f t="shared" ref="H10:H14" si="1">F10&amp;G10</f>
        <v/>
      </c>
    </row>
    <row r="11" spans="1:8" x14ac:dyDescent="0.2">
      <c r="H11" s="21" t="str">
        <f t="shared" si="1"/>
        <v/>
      </c>
    </row>
    <row r="12" spans="1:8" x14ac:dyDescent="0.2">
      <c r="H12" s="21" t="str">
        <f t="shared" si="1"/>
        <v/>
      </c>
    </row>
    <row r="13" spans="1:8" x14ac:dyDescent="0.2">
      <c r="H13" s="21" t="str">
        <f t="shared" si="1"/>
        <v/>
      </c>
    </row>
    <row r="14" spans="1:8" x14ac:dyDescent="0.2">
      <c r="H14" s="21" t="str">
        <f t="shared" si="1"/>
        <v/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H14"/>
  <sheetViews>
    <sheetView workbookViewId="0">
      <selection activeCell="E8" sqref="E8"/>
    </sheetView>
  </sheetViews>
  <sheetFormatPr baseColWidth="10" defaultColWidth="8.83203125" defaultRowHeight="15" x14ac:dyDescent="0.2"/>
  <cols>
    <col min="1" max="2" width="15.1640625" bestFit="1" customWidth="1"/>
    <col min="3" max="4" width="2.5" bestFit="1" customWidth="1"/>
    <col min="6" max="6" width="5.83203125" style="21" bestFit="1" customWidth="1"/>
    <col min="7" max="7" width="6.5" style="21" customWidth="1"/>
    <col min="8" max="8" width="5.1640625" style="21" bestFit="1" customWidth="1"/>
  </cols>
  <sheetData>
    <row r="1" spans="1:8" x14ac:dyDescent="0.2">
      <c r="A1" s="4" t="s">
        <v>9</v>
      </c>
      <c r="C1" s="5" t="s">
        <v>2</v>
      </c>
      <c r="D1" s="5"/>
      <c r="E1" s="23" t="s">
        <v>89</v>
      </c>
      <c r="F1" s="21" t="str">
        <f ca="1">IF(OR(OR($A1="",$B1=""),AND($C1&lt;&gt;"",$D1&lt;&gt;"")),"",VLOOKUP(A1,IF({1,0},INDIRECT("达修波得!$"&amp;$E$1&amp;"$2:$"&amp;$E$1&amp;"$8"),达修波得!$A$2:$A$8),2,FALSE))</f>
        <v/>
      </c>
      <c r="G1" s="21" t="str">
        <f ca="1">IF(OR(OR($A1="",$B1=""),AND($C1&lt;&gt;"",$D1&lt;&gt;"")),"",VLOOKUP(B1,IF({1,0},INDIRECT("达修波得!$"&amp;$E$1&amp;"$2:$"&amp;$E$1&amp;"$8"),达修波得!$A$2:$A$8),2,FALSE))</f>
        <v/>
      </c>
      <c r="H1" s="21" t="str">
        <f ca="1">F1&amp;G1</f>
        <v/>
      </c>
    </row>
    <row r="2" spans="1:8" x14ac:dyDescent="0.2">
      <c r="A2" t="s">
        <v>85</v>
      </c>
      <c r="B2" t="s">
        <v>86</v>
      </c>
      <c r="C2">
        <v>1</v>
      </c>
      <c r="D2">
        <v>2</v>
      </c>
      <c r="F2" s="21" t="str">
        <f ca="1">IF(OR(OR($A2="",$B2=""),AND($C2&lt;&gt;"",$D2&lt;&gt;"")),"",VLOOKUP(A2,IF({1,0},INDIRECT("达修波得!$"&amp;$E$1&amp;"$2:$"&amp;$E$1&amp;"$14"),达修波得!$A$2:$A$14),2,FALSE))</f>
        <v/>
      </c>
      <c r="G2" s="21" t="str">
        <f ca="1">IF(OR(OR($A2="",$B2=""),AND($C2&lt;&gt;"",$D2&lt;&gt;"")),"",VLOOKUP(B2,IF({1,0},INDIRECT("达修波得!$"&amp;$E$1&amp;"$2:$"&amp;$E$1&amp;"$14"),达修波得!$A$2:$A$14),2,FALSE))</f>
        <v/>
      </c>
      <c r="H2" s="21" t="str">
        <f ca="1">F2&amp;G2</f>
        <v/>
      </c>
    </row>
    <row r="3" spans="1:8" x14ac:dyDescent="0.2">
      <c r="A3" s="1" t="s">
        <v>87</v>
      </c>
      <c r="B3" t="s">
        <v>88</v>
      </c>
      <c r="F3" s="21" t="str">
        <f ca="1">IF(OR(OR($A3="",$B3=""),AND($C3&lt;&gt;"",$D3&lt;&gt;"")),"",VLOOKUP(A3,IF({1,0},INDIRECT("达修波得!$"&amp;$E$1&amp;"$2:$"&amp;$E$1&amp;"$14"),达修波得!$A$2:$A$14),2,FALSE))</f>
        <v>宇</v>
      </c>
      <c r="G3" s="21" t="str">
        <f ca="1">IF(OR(OR($A3="",$B3=""),AND($C3&lt;&gt;"",$D3&lt;&gt;"")),"",VLOOKUP(B3,IF({1,0},INDIRECT("达修波得!$"&amp;$E$1&amp;"$2:$"&amp;$E$1&amp;"$14"),达修波得!$A$2:$A$14),2,FALSE))</f>
        <v>磊</v>
      </c>
      <c r="H3" s="21" t="str">
        <f t="shared" ref="H3:H9" ca="1" si="0">F3&amp;G3</f>
        <v>宇磊</v>
      </c>
    </row>
    <row r="4" spans="1:8" x14ac:dyDescent="0.2">
      <c r="A4" s="4" t="s">
        <v>10</v>
      </c>
      <c r="F4" s="21" t="str">
        <f ca="1">IF(OR(OR($A4="",$B4=""),AND($C4&lt;&gt;"",$D4&lt;&gt;"")),"",VLOOKUP(A4,IF({1,0},INDIRECT("达修波得!$"&amp;$E$1&amp;"$2:$"&amp;$E$1&amp;"$14"),达修波得!$A$2:$A$14),2,FALSE))</f>
        <v/>
      </c>
      <c r="G4" s="21" t="str">
        <f ca="1">IF(OR(OR($A4="",$B4=""),AND($C4&lt;&gt;"",$D4&lt;&gt;"")),"",VLOOKUP(B4,IF({1,0},INDIRECT("达修波得!$"&amp;$E$1&amp;"$2:$"&amp;$E$1&amp;"$14"),达修波得!$A$2:$A$14),2,FALSE))</f>
        <v/>
      </c>
      <c r="H4" s="21" t="str">
        <f t="shared" ca="1" si="0"/>
        <v/>
      </c>
    </row>
    <row r="5" spans="1:8" x14ac:dyDescent="0.2">
      <c r="A5" t="s">
        <v>85</v>
      </c>
      <c r="B5" t="s">
        <v>88</v>
      </c>
      <c r="F5" s="21" t="str">
        <f ca="1">IF(OR(OR($A5="",$B5=""),AND($C5&lt;&gt;"",$D5&lt;&gt;"")),"",VLOOKUP(A5,IF({1,0},INDIRECT("达修波得!$"&amp;$E$1&amp;"$2:$"&amp;$E$1&amp;"$14"),达修波得!$A$2:$A$14),2,FALSE))</f>
        <v>宇</v>
      </c>
      <c r="G5" s="21" t="str">
        <f ca="1">IF(OR(OR($A5="",$B5=""),AND($C5&lt;&gt;"",$D5&lt;&gt;"")),"",VLOOKUP(B5,IF({1,0},INDIRECT("达修波得!$"&amp;$E$1&amp;"$2:$"&amp;$E$1&amp;"$14"),达修波得!$A$2:$A$14),2,FALSE))</f>
        <v>磊</v>
      </c>
      <c r="H5" s="21" t="str">
        <f t="shared" ca="1" si="0"/>
        <v>宇磊</v>
      </c>
    </row>
    <row r="6" spans="1:8" x14ac:dyDescent="0.2">
      <c r="A6" t="s">
        <v>86</v>
      </c>
      <c r="B6" t="s">
        <v>87</v>
      </c>
      <c r="C6">
        <v>1</v>
      </c>
      <c r="D6">
        <v>0</v>
      </c>
      <c r="F6" s="21" t="str">
        <f ca="1">IF(OR(OR($A6="",$B6=""),AND($C6&lt;&gt;"",$D6&lt;&gt;"")),"",VLOOKUP(A6,IF({1,0},INDIRECT("达修波得!$"&amp;$E$1&amp;"$2:$"&amp;$E$1&amp;"$14"),达修波得!$A$2:$A$14),2,FALSE))</f>
        <v/>
      </c>
      <c r="G6" s="21" t="str">
        <f ca="1">IF(OR(OR($A6="",$B6=""),AND($C6&lt;&gt;"",$D6&lt;&gt;"")),"",VLOOKUP(B6,IF({1,0},INDIRECT("达修波得!$"&amp;$E$1&amp;"$2:$"&amp;$E$1&amp;"$14"),达修波得!$A$2:$A$14),2,FALSE))</f>
        <v/>
      </c>
      <c r="H6" s="21" t="str">
        <f t="shared" ca="1" si="0"/>
        <v/>
      </c>
    </row>
    <row r="7" spans="1:8" x14ac:dyDescent="0.2">
      <c r="A7" s="4" t="s">
        <v>11</v>
      </c>
      <c r="F7" s="21" t="str">
        <f ca="1">IF(OR(OR($A7="",$B7=""),AND($C7&lt;&gt;"",$D7&lt;&gt;"")),"",VLOOKUP(A7,IF({1,0},INDIRECT("达修波得!$"&amp;$E$1&amp;"$2:$"&amp;$E$1&amp;"$14"),达修波得!$A$2:$A$14),2,FALSE))</f>
        <v/>
      </c>
      <c r="G7" s="21" t="str">
        <f ca="1">IF(OR(OR($A7="",$B7=""),AND($C7&lt;&gt;"",$D7&lt;&gt;"")),"",VLOOKUP(B7,IF({1,0},INDIRECT("达修波得!$"&amp;$E$1&amp;"$2:$"&amp;$E$1&amp;"$14"),达修波得!$A$2:$A$14),2,FALSE))</f>
        <v/>
      </c>
      <c r="H7" s="21" t="str">
        <f t="shared" ca="1" si="0"/>
        <v/>
      </c>
    </row>
    <row r="8" spans="1:8" x14ac:dyDescent="0.2">
      <c r="A8" t="s">
        <v>85</v>
      </c>
      <c r="B8" t="s">
        <v>87</v>
      </c>
      <c r="F8" s="21" t="str">
        <f ca="1">IF(OR(OR($A8="",$B8=""),AND($C8&lt;&gt;"",$D8&lt;&gt;"")),"",VLOOKUP(A8,IF({1,0},INDIRECT("达修波得!$"&amp;$E$1&amp;"$2:$"&amp;$E$1&amp;"$14"),达修波得!$A$2:$A$14),2,FALSE))</f>
        <v>宇</v>
      </c>
      <c r="G8" s="21" t="str">
        <f ca="1">IF(OR(OR($A8="",$B8=""),AND($C8&lt;&gt;"",$D8&lt;&gt;"")),"",VLOOKUP(B8,IF({1,0},INDIRECT("达修波得!$"&amp;$E$1&amp;"$2:$"&amp;$E$1&amp;"$14"),达修波得!$A$2:$A$14),2,FALSE))</f>
        <v>宇</v>
      </c>
      <c r="H8" s="21" t="str">
        <f t="shared" ca="1" si="0"/>
        <v>宇宇</v>
      </c>
    </row>
    <row r="9" spans="1:8" x14ac:dyDescent="0.2">
      <c r="A9" t="s">
        <v>88</v>
      </c>
      <c r="B9" t="s">
        <v>86</v>
      </c>
      <c r="C9">
        <v>2</v>
      </c>
      <c r="D9">
        <v>1</v>
      </c>
      <c r="F9" s="21" t="str">
        <f ca="1">IF(OR(OR($A9="",$B9=""),AND($C9&lt;&gt;"",$D9&lt;&gt;"")),"",VLOOKUP(A9,IF({1,0},INDIRECT("达修波得!$"&amp;$E$1&amp;"$2:$"&amp;$E$1&amp;"$14"),达修波得!$A$2:$A$14),2,FALSE))</f>
        <v/>
      </c>
      <c r="G9" s="21" t="str">
        <f ca="1">IF(OR(OR($A9="",$B9=""),AND($C9&lt;&gt;"",$D9&lt;&gt;"")),"",VLOOKUP(B9,IF({1,0},INDIRECT("达修波得!$"&amp;$E$1&amp;"$2:$"&amp;$E$1&amp;"$14"),达修波得!$A$2:$A$14),2,FALSE))</f>
        <v/>
      </c>
      <c r="H9" s="21" t="str">
        <f t="shared" ca="1" si="0"/>
        <v/>
      </c>
    </row>
    <row r="10" spans="1:8" x14ac:dyDescent="0.2">
      <c r="H10" s="21" t="str">
        <f t="shared" ref="H10:H14" si="1">F10&amp;G10</f>
        <v/>
      </c>
    </row>
    <row r="11" spans="1:8" x14ac:dyDescent="0.2">
      <c r="H11" s="21" t="str">
        <f t="shared" si="1"/>
        <v/>
      </c>
    </row>
    <row r="12" spans="1:8" x14ac:dyDescent="0.2">
      <c r="H12" s="21" t="str">
        <f t="shared" si="1"/>
        <v/>
      </c>
    </row>
    <row r="13" spans="1:8" x14ac:dyDescent="0.2">
      <c r="H13" s="21" t="str">
        <f t="shared" si="1"/>
        <v/>
      </c>
    </row>
    <row r="14" spans="1:8" x14ac:dyDescent="0.2">
      <c r="H14" s="21" t="str">
        <f t="shared" si="1"/>
        <v/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A1:H14"/>
  <sheetViews>
    <sheetView workbookViewId="0">
      <selection activeCell="D10" sqref="D10"/>
    </sheetView>
  </sheetViews>
  <sheetFormatPr baseColWidth="10" defaultColWidth="8.83203125" defaultRowHeight="15" x14ac:dyDescent="0.2"/>
  <cols>
    <col min="1" max="2" width="15.1640625" bestFit="1" customWidth="1"/>
    <col min="3" max="4" width="2.5" bestFit="1" customWidth="1"/>
    <col min="6" max="6" width="5.83203125" style="21" bestFit="1" customWidth="1"/>
    <col min="7" max="7" width="6.5" style="21" customWidth="1"/>
    <col min="8" max="8" width="5.1640625" style="21" bestFit="1" customWidth="1"/>
  </cols>
  <sheetData>
    <row r="1" spans="1:8" x14ac:dyDescent="0.2">
      <c r="A1" s="4" t="s">
        <v>9</v>
      </c>
      <c r="C1" s="5" t="s">
        <v>2</v>
      </c>
      <c r="D1" s="5"/>
      <c r="E1" s="23" t="s">
        <v>94</v>
      </c>
      <c r="F1" s="21" t="str">
        <f ca="1">IF(OR(OR($A1="",$B1=""),AND($C1&lt;&gt;"",$D1&lt;&gt;"")),"",VLOOKUP(A1,IF({1,0},INDIRECT("达修波得!$"&amp;$E$1&amp;"$2:$"&amp;$E$1&amp;"$8"),达修波得!$A$2:$A$8),2,FALSE))</f>
        <v/>
      </c>
      <c r="G1" s="21" t="str">
        <f ca="1">IF(OR(OR($A1="",$B1=""),AND($C1&lt;&gt;"",$D1&lt;&gt;"")),"",VLOOKUP(B1,IF({1,0},INDIRECT("达修波得!$"&amp;$E$1&amp;"$2:$"&amp;$E$1&amp;"$8"),达修波得!$A$2:$A$8),2,FALSE))</f>
        <v/>
      </c>
      <c r="H1" s="21" t="str">
        <f ca="1">F1&amp;G1</f>
        <v/>
      </c>
    </row>
    <row r="2" spans="1:8" x14ac:dyDescent="0.2">
      <c r="A2" t="s">
        <v>90</v>
      </c>
      <c r="B2" t="s">
        <v>91</v>
      </c>
      <c r="F2" s="21" t="str">
        <f ca="1">IF(OR(OR($A2="",$B2=""),AND($C2&lt;&gt;"",$D2&lt;&gt;"")),"",VLOOKUP(A2,IF({1,0},INDIRECT("达修波得!$"&amp;$E$1&amp;"$2:$"&amp;$E$1&amp;"$14"),达修波得!$A$2:$A$14),2,FALSE))</f>
        <v>磊</v>
      </c>
      <c r="G2" s="21" t="str">
        <f ca="1">IF(OR(OR($A2="",$B2=""),AND($C2&lt;&gt;"",$D2&lt;&gt;"")),"",VLOOKUP(B2,IF({1,0},INDIRECT("达修波得!$"&amp;$E$1&amp;"$2:$"&amp;$E$1&amp;"$14"),达修波得!$A$2:$A$14),2,FALSE))</f>
        <v>七</v>
      </c>
      <c r="H2" s="21" t="str">
        <f ca="1">F2&amp;G2</f>
        <v>磊七</v>
      </c>
    </row>
    <row r="3" spans="1:8" x14ac:dyDescent="0.2">
      <c r="A3" s="1" t="s">
        <v>92</v>
      </c>
      <c r="B3" t="s">
        <v>93</v>
      </c>
      <c r="C3">
        <v>0</v>
      </c>
      <c r="D3">
        <v>0</v>
      </c>
      <c r="F3" s="21" t="str">
        <f ca="1">IF(OR(OR($A3="",$B3=""),AND($C3&lt;&gt;"",$D3&lt;&gt;"")),"",VLOOKUP(A3,IF({1,0},INDIRECT("达修波得!$"&amp;$E$1&amp;"$2:$"&amp;$E$1&amp;"$14"),达修波得!$A$2:$A$14),2,FALSE))</f>
        <v/>
      </c>
      <c r="G3" s="21" t="str">
        <f ca="1">IF(OR(OR($A3="",$B3=""),AND($C3&lt;&gt;"",$D3&lt;&gt;"")),"",VLOOKUP(B3,IF({1,0},INDIRECT("达修波得!$"&amp;$E$1&amp;"$2:$"&amp;$E$1&amp;"$14"),达修波得!$A$2:$A$14),2,FALSE))</f>
        <v/>
      </c>
      <c r="H3" s="21" t="str">
        <f t="shared" ref="H3:H9" ca="1" si="0">F3&amp;G3</f>
        <v/>
      </c>
    </row>
    <row r="4" spans="1:8" x14ac:dyDescent="0.2">
      <c r="A4" s="4" t="s">
        <v>10</v>
      </c>
      <c r="F4" s="21" t="str">
        <f ca="1">IF(OR(OR($A4="",$B4=""),AND($C4&lt;&gt;"",$D4&lt;&gt;"")),"",VLOOKUP(A4,IF({1,0},INDIRECT("达修波得!$"&amp;$E$1&amp;"$2:$"&amp;$E$1&amp;"$14"),达修波得!$A$2:$A$14),2,FALSE))</f>
        <v/>
      </c>
      <c r="G4" s="21" t="str">
        <f ca="1">IF(OR(OR($A4="",$B4=""),AND($C4&lt;&gt;"",$D4&lt;&gt;"")),"",VLOOKUP(B4,IF({1,0},INDIRECT("达修波得!$"&amp;$E$1&amp;"$2:$"&amp;$E$1&amp;"$14"),达修波得!$A$2:$A$14),2,FALSE))</f>
        <v/>
      </c>
      <c r="H4" s="21" t="str">
        <f t="shared" ca="1" si="0"/>
        <v/>
      </c>
    </row>
    <row r="5" spans="1:8" x14ac:dyDescent="0.2">
      <c r="A5" t="s">
        <v>90</v>
      </c>
      <c r="B5" t="s">
        <v>93</v>
      </c>
      <c r="C5">
        <v>0</v>
      </c>
      <c r="D5">
        <v>2</v>
      </c>
      <c r="F5" s="21" t="str">
        <f ca="1">IF(OR(OR($A5="",$B5=""),AND($C5&lt;&gt;"",$D5&lt;&gt;"")),"",VLOOKUP(A5,IF({1,0},INDIRECT("达修波得!$"&amp;$E$1&amp;"$2:$"&amp;$E$1&amp;"$14"),达修波得!$A$2:$A$14),2,FALSE))</f>
        <v/>
      </c>
      <c r="G5" s="21" t="str">
        <f ca="1">IF(OR(OR($A5="",$B5=""),AND($C5&lt;&gt;"",$D5&lt;&gt;"")),"",VLOOKUP(B5,IF({1,0},INDIRECT("达修波得!$"&amp;$E$1&amp;"$2:$"&amp;$E$1&amp;"$14"),达修波得!$A$2:$A$14),2,FALSE))</f>
        <v/>
      </c>
      <c r="H5" s="21" t="str">
        <f t="shared" ca="1" si="0"/>
        <v/>
      </c>
    </row>
    <row r="6" spans="1:8" x14ac:dyDescent="0.2">
      <c r="A6" t="s">
        <v>91</v>
      </c>
      <c r="B6" t="s">
        <v>92</v>
      </c>
      <c r="F6" s="21" t="str">
        <f ca="1">IF(OR(OR($A6="",$B6=""),AND($C6&lt;&gt;"",$D6&lt;&gt;"")),"",VLOOKUP(A6,IF({1,0},INDIRECT("达修波得!$"&amp;$E$1&amp;"$2:$"&amp;$E$1&amp;"$14"),达修波得!$A$2:$A$14),2,FALSE))</f>
        <v>七</v>
      </c>
      <c r="G6" s="21" t="str">
        <f ca="1">IF(OR(OR($A6="",$B6=""),AND($C6&lt;&gt;"",$D6&lt;&gt;"")),"",VLOOKUP(B6,IF({1,0},INDIRECT("达修波得!$"&amp;$E$1&amp;"$2:$"&amp;$E$1&amp;"$14"),达修波得!$A$2:$A$14),2,FALSE))</f>
        <v>二</v>
      </c>
      <c r="H6" s="21" t="str">
        <f t="shared" ca="1" si="0"/>
        <v>七二</v>
      </c>
    </row>
    <row r="7" spans="1:8" x14ac:dyDescent="0.2">
      <c r="A7" s="4" t="s">
        <v>11</v>
      </c>
      <c r="F7" s="21" t="str">
        <f ca="1">IF(OR(OR($A7="",$B7=""),AND($C7&lt;&gt;"",$D7&lt;&gt;"")),"",VLOOKUP(A7,IF({1,0},INDIRECT("达修波得!$"&amp;$E$1&amp;"$2:$"&amp;$E$1&amp;"$14"),达修波得!$A$2:$A$14),2,FALSE))</f>
        <v/>
      </c>
      <c r="G7" s="21" t="str">
        <f ca="1">IF(OR(OR($A7="",$B7=""),AND($C7&lt;&gt;"",$D7&lt;&gt;"")),"",VLOOKUP(B7,IF({1,0},INDIRECT("达修波得!$"&amp;$E$1&amp;"$2:$"&amp;$E$1&amp;"$14"),达修波得!$A$2:$A$14),2,FALSE))</f>
        <v/>
      </c>
      <c r="H7" s="21" t="str">
        <f t="shared" ca="1" si="0"/>
        <v/>
      </c>
    </row>
    <row r="8" spans="1:8" x14ac:dyDescent="0.2">
      <c r="A8" t="s">
        <v>90</v>
      </c>
      <c r="B8" t="s">
        <v>92</v>
      </c>
      <c r="F8" s="21" t="str">
        <f ca="1">IF(OR(OR($A8="",$B8=""),AND($C8&lt;&gt;"",$D8&lt;&gt;"")),"",VLOOKUP(A8,IF({1,0},INDIRECT("达修波得!$"&amp;$E$1&amp;"$2:$"&amp;$E$1&amp;"$14"),达修波得!$A$2:$A$14),2,FALSE))</f>
        <v>磊</v>
      </c>
      <c r="G8" s="21" t="str">
        <f ca="1">IF(OR(OR($A8="",$B8=""),AND($C8&lt;&gt;"",$D8&lt;&gt;"")),"",VLOOKUP(B8,IF({1,0},INDIRECT("达修波得!$"&amp;$E$1&amp;"$2:$"&amp;$E$1&amp;"$14"),达修波得!$A$2:$A$14),2,FALSE))</f>
        <v>二</v>
      </c>
      <c r="H8" s="21" t="str">
        <f t="shared" ca="1" si="0"/>
        <v>磊二</v>
      </c>
    </row>
    <row r="9" spans="1:8" x14ac:dyDescent="0.2">
      <c r="A9" t="s">
        <v>93</v>
      </c>
      <c r="B9" t="s">
        <v>91</v>
      </c>
      <c r="F9" s="21" t="str">
        <f ca="1">IF(OR(OR($A9="",$B9=""),AND($C9&lt;&gt;"",$D9&lt;&gt;"")),"",VLOOKUP(A9,IF({1,0},INDIRECT("达修波得!$"&amp;$E$1&amp;"$2:$"&amp;$E$1&amp;"$14"),达修波得!$A$2:$A$14),2,FALSE))</f>
        <v>贝</v>
      </c>
      <c r="G9" s="21" t="str">
        <f ca="1">IF(OR(OR($A9="",$B9=""),AND($C9&lt;&gt;"",$D9&lt;&gt;"")),"",VLOOKUP(B9,IF({1,0},INDIRECT("达修波得!$"&amp;$E$1&amp;"$2:$"&amp;$E$1&amp;"$14"),达修波得!$A$2:$A$14),2,FALSE))</f>
        <v>七</v>
      </c>
      <c r="H9" s="21" t="str">
        <f t="shared" ca="1" si="0"/>
        <v>贝七</v>
      </c>
    </row>
    <row r="10" spans="1:8" x14ac:dyDescent="0.2">
      <c r="H10" s="21" t="str">
        <f t="shared" ref="H10:H14" si="1">F10&amp;G10</f>
        <v/>
      </c>
    </row>
    <row r="11" spans="1:8" x14ac:dyDescent="0.2">
      <c r="H11" s="21" t="str">
        <f t="shared" si="1"/>
        <v/>
      </c>
    </row>
    <row r="12" spans="1:8" x14ac:dyDescent="0.2">
      <c r="H12" s="21" t="str">
        <f t="shared" si="1"/>
        <v/>
      </c>
    </row>
    <row r="13" spans="1:8" x14ac:dyDescent="0.2">
      <c r="H13" s="21" t="str">
        <f t="shared" si="1"/>
        <v/>
      </c>
    </row>
    <row r="14" spans="1:8" x14ac:dyDescent="0.2">
      <c r="H14" s="21" t="str">
        <f t="shared" si="1"/>
        <v/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H14"/>
  <sheetViews>
    <sheetView workbookViewId="0">
      <selection activeCell="F2" sqref="F2:G9"/>
    </sheetView>
  </sheetViews>
  <sheetFormatPr baseColWidth="10" defaultColWidth="8.83203125" defaultRowHeight="15" x14ac:dyDescent="0.2"/>
  <cols>
    <col min="1" max="2" width="15.1640625" bestFit="1" customWidth="1"/>
    <col min="3" max="4" width="2.5" bestFit="1" customWidth="1"/>
    <col min="6" max="6" width="5.83203125" style="21" bestFit="1" customWidth="1"/>
    <col min="7" max="7" width="6.5" style="21" customWidth="1"/>
    <col min="8" max="8" width="5.1640625" style="21" bestFit="1" customWidth="1"/>
  </cols>
  <sheetData>
    <row r="1" spans="1:8" x14ac:dyDescent="0.2">
      <c r="A1" s="4" t="s">
        <v>9</v>
      </c>
      <c r="C1" s="5" t="s">
        <v>2</v>
      </c>
      <c r="D1" s="5"/>
      <c r="E1" s="23" t="s">
        <v>99</v>
      </c>
      <c r="F1" s="21" t="str">
        <f ca="1">IF(OR(OR($A1="",$B1=""),AND($C1&lt;&gt;"",$D1&lt;&gt;"")),"",VLOOKUP(A1,IF({1,0},INDIRECT("达修波得!$"&amp;$E$1&amp;"$2:$"&amp;$E$1&amp;"$8"),达修波得!$A$2:$A$8),2,FALSE))</f>
        <v/>
      </c>
      <c r="G1" s="21" t="str">
        <f ca="1">IF(OR(OR($A1="",$B1=""),AND($C1&lt;&gt;"",$D1&lt;&gt;"")),"",VLOOKUP(B1,IF({1,0},INDIRECT("达修波得!$"&amp;$E$1&amp;"$2:$"&amp;$E$1&amp;"$8"),达修波得!$A$2:$A$8),2,FALSE))</f>
        <v/>
      </c>
      <c r="H1" s="21" t="str">
        <f ca="1">F1&amp;G1</f>
        <v/>
      </c>
    </row>
    <row r="2" spans="1:8" x14ac:dyDescent="0.2">
      <c r="A2" t="s">
        <v>95</v>
      </c>
      <c r="B2" t="s">
        <v>96</v>
      </c>
      <c r="F2" s="21" t="str">
        <f ca="1">IF(OR(OR($A2="",$B2=""),AND($C2&lt;&gt;"",$D2&lt;&gt;"")),"",VLOOKUP(A2,IF({1,0},INDIRECT("达修波得!$"&amp;$E$1&amp;"$2:$"&amp;$E$1&amp;"$14"),达修波得!$A$2:$A$14),2,FALSE))</f>
        <v>宇</v>
      </c>
      <c r="G2" s="21" t="str">
        <f ca="1">IF(OR(OR($A2="",$B2=""),AND($C2&lt;&gt;"",$D2&lt;&gt;"")),"",VLOOKUP(B2,IF({1,0},INDIRECT("达修波得!$"&amp;$E$1&amp;"$2:$"&amp;$E$1&amp;"$14"),达修波得!$A$2:$A$14),2,FALSE))</f>
        <v>爷</v>
      </c>
      <c r="H2" s="21" t="str">
        <f ca="1">F2&amp;G2</f>
        <v>宇爷</v>
      </c>
    </row>
    <row r="3" spans="1:8" x14ac:dyDescent="0.2">
      <c r="A3" s="1" t="s">
        <v>97</v>
      </c>
      <c r="B3" t="s">
        <v>98</v>
      </c>
      <c r="F3" s="21" t="str">
        <f ca="1">IF(OR(OR($A3="",$B3=""),AND($C3&lt;&gt;"",$D3&lt;&gt;"")),"",VLOOKUP(A3,IF({1,0},INDIRECT("达修波得!$"&amp;$E$1&amp;"$2:$"&amp;$E$1&amp;"$14"),达修波得!$A$2:$A$14),2,FALSE))</f>
        <v>七</v>
      </c>
      <c r="G3" s="21" t="str">
        <f ca="1">IF(OR(OR($A3="",$B3=""),AND($C3&lt;&gt;"",$D3&lt;&gt;"")),"",VLOOKUP(B3,IF({1,0},INDIRECT("达修波得!$"&amp;$E$1&amp;"$2:$"&amp;$E$1&amp;"$14"),达修波得!$A$2:$A$14),2,FALSE))</f>
        <v>爷</v>
      </c>
      <c r="H3" s="21" t="str">
        <f t="shared" ref="H3:H9" ca="1" si="0">F3&amp;G3</f>
        <v>七爷</v>
      </c>
    </row>
    <row r="4" spans="1:8" x14ac:dyDescent="0.2">
      <c r="A4" s="4" t="s">
        <v>10</v>
      </c>
      <c r="F4" s="21" t="str">
        <f ca="1">IF(OR(OR($A4="",$B4=""),AND($C4&lt;&gt;"",$D4&lt;&gt;"")),"",VLOOKUP(A4,IF({1,0},INDIRECT("达修波得!$"&amp;$E$1&amp;"$2:$"&amp;$E$1&amp;"$14"),达修波得!$A$2:$A$14),2,FALSE))</f>
        <v/>
      </c>
      <c r="G4" s="21" t="str">
        <f ca="1">IF(OR(OR($A4="",$B4=""),AND($C4&lt;&gt;"",$D4&lt;&gt;"")),"",VLOOKUP(B4,IF({1,0},INDIRECT("达修波得!$"&amp;$E$1&amp;"$2:$"&amp;$E$1&amp;"$14"),达修波得!$A$2:$A$14),2,FALSE))</f>
        <v/>
      </c>
      <c r="H4" s="21" t="str">
        <f t="shared" ca="1" si="0"/>
        <v/>
      </c>
    </row>
    <row r="5" spans="1:8" x14ac:dyDescent="0.2">
      <c r="A5" t="s">
        <v>95</v>
      </c>
      <c r="B5" t="s">
        <v>98</v>
      </c>
      <c r="F5" s="21" t="str">
        <f ca="1">IF(OR(OR($A5="",$B5=""),AND($C5&lt;&gt;"",$D5&lt;&gt;"")),"",VLOOKUP(A5,IF({1,0},INDIRECT("达修波得!$"&amp;$E$1&amp;"$2:$"&amp;$E$1&amp;"$14"),达修波得!$A$2:$A$14),2,FALSE))</f>
        <v>宇</v>
      </c>
      <c r="G5" s="21" t="str">
        <f ca="1">IF(OR(OR($A5="",$B5=""),AND($C5&lt;&gt;"",$D5&lt;&gt;"")),"",VLOOKUP(B5,IF({1,0},INDIRECT("达修波得!$"&amp;$E$1&amp;"$2:$"&amp;$E$1&amp;"$14"),达修波得!$A$2:$A$14),2,FALSE))</f>
        <v>爷</v>
      </c>
      <c r="H5" s="21" t="str">
        <f t="shared" ca="1" si="0"/>
        <v>宇爷</v>
      </c>
    </row>
    <row r="6" spans="1:8" x14ac:dyDescent="0.2">
      <c r="A6" t="s">
        <v>96</v>
      </c>
      <c r="B6" t="s">
        <v>97</v>
      </c>
      <c r="F6" s="21" t="str">
        <f ca="1">IF(OR(OR($A6="",$B6=""),AND($C6&lt;&gt;"",$D6&lt;&gt;"")),"",VLOOKUP(A6,IF({1,0},INDIRECT("达修波得!$"&amp;$E$1&amp;"$2:$"&amp;$E$1&amp;"$14"),达修波得!$A$2:$A$14),2,FALSE))</f>
        <v>爷</v>
      </c>
      <c r="G6" s="21" t="str">
        <f ca="1">IF(OR(OR($A6="",$B6=""),AND($C6&lt;&gt;"",$D6&lt;&gt;"")),"",VLOOKUP(B6,IF({1,0},INDIRECT("达修波得!$"&amp;$E$1&amp;"$2:$"&amp;$E$1&amp;"$14"),达修波得!$A$2:$A$14),2,FALSE))</f>
        <v>七</v>
      </c>
      <c r="H6" s="21" t="str">
        <f t="shared" ca="1" si="0"/>
        <v>爷七</v>
      </c>
    </row>
    <row r="7" spans="1:8" x14ac:dyDescent="0.2">
      <c r="A7" s="4" t="s">
        <v>11</v>
      </c>
      <c r="F7" s="21" t="str">
        <f ca="1">IF(OR(OR($A7="",$B7=""),AND($C7&lt;&gt;"",$D7&lt;&gt;"")),"",VLOOKUP(A7,IF({1,0},INDIRECT("达修波得!$"&amp;$E$1&amp;"$2:$"&amp;$E$1&amp;"$14"),达修波得!$A$2:$A$14),2,FALSE))</f>
        <v/>
      </c>
      <c r="G7" s="21" t="str">
        <f ca="1">IF(OR(OR($A7="",$B7=""),AND($C7&lt;&gt;"",$D7&lt;&gt;"")),"",VLOOKUP(B7,IF({1,0},INDIRECT("达修波得!$"&amp;$E$1&amp;"$2:$"&amp;$E$1&amp;"$14"),达修波得!$A$2:$A$14),2,FALSE))</f>
        <v/>
      </c>
      <c r="H7" s="21" t="str">
        <f t="shared" ca="1" si="0"/>
        <v/>
      </c>
    </row>
    <row r="8" spans="1:8" x14ac:dyDescent="0.2">
      <c r="A8" t="s">
        <v>95</v>
      </c>
      <c r="B8" t="s">
        <v>97</v>
      </c>
      <c r="F8" s="21" t="str">
        <f ca="1">IF(OR(OR($A8="",$B8=""),AND($C8&lt;&gt;"",$D8&lt;&gt;"")),"",VLOOKUP(A8,IF({1,0},INDIRECT("达修波得!$"&amp;$E$1&amp;"$2:$"&amp;$E$1&amp;"$14"),达修波得!$A$2:$A$14),2,FALSE))</f>
        <v>宇</v>
      </c>
      <c r="G8" s="21" t="str">
        <f ca="1">IF(OR(OR($A8="",$B8=""),AND($C8&lt;&gt;"",$D8&lt;&gt;"")),"",VLOOKUP(B8,IF({1,0},INDIRECT("达修波得!$"&amp;$E$1&amp;"$2:$"&amp;$E$1&amp;"$14"),达修波得!$A$2:$A$14),2,FALSE))</f>
        <v>七</v>
      </c>
      <c r="H8" s="21" t="str">
        <f t="shared" ca="1" si="0"/>
        <v>宇七</v>
      </c>
    </row>
    <row r="9" spans="1:8" x14ac:dyDescent="0.2">
      <c r="A9" t="s">
        <v>98</v>
      </c>
      <c r="B9" t="s">
        <v>96</v>
      </c>
      <c r="F9" s="21" t="str">
        <f ca="1">IF(OR(OR($A9="",$B9=""),AND($C9&lt;&gt;"",$D9&lt;&gt;"")),"",VLOOKUP(A9,IF({1,0},INDIRECT("达修波得!$"&amp;$E$1&amp;"$2:$"&amp;$E$1&amp;"$14"),达修波得!$A$2:$A$14),2,FALSE))</f>
        <v>爷</v>
      </c>
      <c r="G9" s="21" t="str">
        <f ca="1">IF(OR(OR($A9="",$B9=""),AND($C9&lt;&gt;"",$D9&lt;&gt;"")),"",VLOOKUP(B9,IF({1,0},INDIRECT("达修波得!$"&amp;$E$1&amp;"$2:$"&amp;$E$1&amp;"$14"),达修波得!$A$2:$A$14),2,FALSE))</f>
        <v>爷</v>
      </c>
      <c r="H9" s="21" t="str">
        <f t="shared" ca="1" si="0"/>
        <v>爷爷</v>
      </c>
    </row>
    <row r="10" spans="1:8" x14ac:dyDescent="0.2">
      <c r="H10" s="21" t="str">
        <f t="shared" ref="H10:H14" si="1">F10&amp;G10</f>
        <v/>
      </c>
    </row>
    <row r="11" spans="1:8" x14ac:dyDescent="0.2">
      <c r="H11" s="21" t="str">
        <f t="shared" si="1"/>
        <v/>
      </c>
    </row>
    <row r="12" spans="1:8" x14ac:dyDescent="0.2">
      <c r="H12" s="21" t="str">
        <f t="shared" si="1"/>
        <v/>
      </c>
    </row>
    <row r="13" spans="1:8" x14ac:dyDescent="0.2">
      <c r="H13" s="21" t="str">
        <f t="shared" si="1"/>
        <v/>
      </c>
    </row>
    <row r="14" spans="1:8" x14ac:dyDescent="0.2">
      <c r="H14" s="21" t="str">
        <f t="shared" si="1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17</vt:i4>
      </vt:variant>
    </vt:vector>
  </HeadingPairs>
  <TitlesOfParts>
    <vt:vector size="17" baseType="lpstr">
      <vt:lpstr>A组積分榜</vt:lpstr>
      <vt:lpstr>达修波得</vt:lpstr>
      <vt:lpstr>B组積分榜</vt:lpstr>
      <vt:lpstr>C组積分榜</vt:lpstr>
      <vt:lpstr>D组積分榜</vt:lpstr>
      <vt:lpstr>F组積分榜</vt:lpstr>
      <vt:lpstr>E组積分榜</vt:lpstr>
      <vt:lpstr>H组積分榜</vt:lpstr>
      <vt:lpstr>G组積分榜</vt:lpstr>
      <vt:lpstr>A组</vt:lpstr>
      <vt:lpstr>B组</vt:lpstr>
      <vt:lpstr>C组</vt:lpstr>
      <vt:lpstr>D组</vt:lpstr>
      <vt:lpstr>E组</vt:lpstr>
      <vt:lpstr>F组</vt:lpstr>
      <vt:lpstr>G组</vt:lpstr>
      <vt:lpstr>H组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ZL</dc:creator>
  <cp:lastModifiedBy>Morpheus zheng</cp:lastModifiedBy>
  <dcterms:created xsi:type="dcterms:W3CDTF">2016-12-27T02:33:39Z</dcterms:created>
  <dcterms:modified xsi:type="dcterms:W3CDTF">2018-06-13T07:37:38Z</dcterms:modified>
</cp:coreProperties>
</file>