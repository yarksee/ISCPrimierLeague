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functionGroups/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<sst xmlns="http://schemas.openxmlformats.org/spreadsheetml/2006/main" count="665" uniqueCount="139">
  <si>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</si>
  <si>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</si>
  <si>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</si>
  <si>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</si>
  <si>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</si>
  <si>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</si>
  <si>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</si>
  <si>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</si>
  <si>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</si>
  <si>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</si>
  <si>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</si>
  <si>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</si>
  <si>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</si>
  <si>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</si>
  <si>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</si>
  <si>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</si>
  <si>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</si>
  <si>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</si>
  <si>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</si>
  <si>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</si>
  <si>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</si>
  <si>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</si>
  <si>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</si>
  <si>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</si>
  <si>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</si>
  <si>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</si>
  <si>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</si>
  <si>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</si>
  <si>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</si>
  <si>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</si>
  <si>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</si>
  <si>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</si>
  <si>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</si>
  <si>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</si>
  <si>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</si>
  <si>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</si>
  <si>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</si>
  <si>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</si>
  <si>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</si>
  <si>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</si>
  <si>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</si>
  <si>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</si>
  <si>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</si>
  <si>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</si>
  <si>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</si>
  <si>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</si>
  <si>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</si>
  <si>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</si>
  <si>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</si>
  <si>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</si>
  <si>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</si>
  <si>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</si>
  <si>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</si>
  <si>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</si>
  <si>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</si>
  <si>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</si>
  <si>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</si>
  <si>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</si>
  <si>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</si>
  <si>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</si>
  <si>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</si>
  <si>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</si>
  <si>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</si>
  <si>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</si>
  <si>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</si>
  <si>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</si>
  <si>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</si>
  <si>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</si>
  <si>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</si>
  <si>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</si>
  <si>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</si>
  <si>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</si>
  <si>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</si>
  <si>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</si>
  <si>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</si>
  <si>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</si>
  <si>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</si>
  <si>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</si>
  <si>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</si>
  <si>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</si>
  <si>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</si>
  <si>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</si>
  <si>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</si>
  <si>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</si>
  <si>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</si>
  <si>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</si>
  <si>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</si>
  <si>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</si>
  <si>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</si>
  <si>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</si>
  <si>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</si>
  <si>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</si>
  <si>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</si>
  <si>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</si>
  <si>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t>拜仁慕尼黑</t>
    <phoneticPr fontId="1"/>
  </si>
  <si>
    <t>塞维利亚</t>
    <phoneticPr fontId="1"/>
  </si>
  <si>
    <t>比利亚雷亚尔</t>
    <phoneticPr fontId="1"/>
  </si>
  <si>
    <t>皇家马德里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</si>
  <si>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</si>
  <si>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</si>
  <si>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</si>
  <si>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</si>
  <si>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t>奥林匹亚科斯</t>
    <phoneticPr fontId="1"/>
  </si>
  <si>
    <t>布鲁日</t>
    <phoneticPr fontId="1"/>
  </si>
  <si>
    <t>莫斯科中央陆军</t>
    <phoneticPr fontId="1"/>
  </si>
  <si>
    <t>贝西科塔斯</t>
    <phoneticPr fontId="1"/>
  </si>
  <si>
    <t>加拉塔萨雷</t>
    <phoneticPr fontId="1"/>
  </si>
  <si>
    <t>莫斯科斯巴达</t>
    <phoneticPr fontId="1"/>
  </si>
  <si>
    <t>费内巴切</t>
    <phoneticPr fontId="1"/>
  </si>
  <si>
    <r>
      <t>奥林匹</t>
    </r>
    <r>
      <rPr>
        <sz val="11"/>
        <color theme="1"/>
        <rFont val="ＭＳ Ｐゴシック"/>
        <family val="3"/>
        <charset val="134"/>
        <scheme val="minor"/>
      </rPr>
      <t>亚科斯</t>
    </r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</si>
  <si>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维利亚</t>
    </r>
    <phoneticPr fontId="1"/>
  </si>
  <si>
    <t>巴黎圣日耳曼</t>
  </si>
  <si>
    <t>巴黎圣日耳曼</t>
    <phoneticPr fontId="1"/>
  </si>
  <si>
    <t>本菲卡</t>
  </si>
  <si>
    <t>本菲卡</t>
    <phoneticPr fontId="1"/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</si>
  <si>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</si>
  <si>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</si>
  <si>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</si>
  <si>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</si>
  <si>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</si>
  <si>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</si>
  <si>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</si>
  <si>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</si>
  <si>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那不勒斯</t>
    <phoneticPr fontId="1"/>
  </si>
  <si>
    <t>拉齐奥</t>
    <phoneticPr fontId="1"/>
  </si>
  <si>
    <t>尤文图斯</t>
    <phoneticPr fontId="1"/>
  </si>
  <si>
    <t>萨索洛</t>
    <phoneticPr fontId="1"/>
  </si>
  <si>
    <t>罗马</t>
    <phoneticPr fontId="1"/>
  </si>
  <si>
    <t>国际米兰</t>
    <phoneticPr fontId="1"/>
  </si>
  <si>
    <t>都灵</t>
    <phoneticPr fontId="1"/>
  </si>
  <si>
    <t>拜仁慕尼黑</t>
  </si>
  <si>
    <t>切尔西</t>
  </si>
  <si>
    <t>奥林匹亚科斯</t>
    <phoneticPr fontId="1"/>
  </si>
  <si>
    <t>塞维利亚</t>
    <phoneticPr fontId="1"/>
  </si>
  <si>
    <t>本菲卡</t>
    <phoneticPr fontId="1"/>
  </si>
  <si>
    <t>国际米兰</t>
    <phoneticPr fontId="1"/>
  </si>
  <si>
    <t>切尔西</t>
    <phoneticPr fontId="1"/>
  </si>
  <si>
    <t>拜仁慕尼黑</t>
    <phoneticPr fontId="1"/>
  </si>
  <si>
    <t>巴黎圣日耳曼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</si>
</sst>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abSelected="1" topLeftCell="A46" workbookViewId="0">
      <selection activeCell="C62" sqref="C62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 t="s">
        <v>109</v>
      </c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 t="s">
        <v>59</v>
      </c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 t="s">
        <v>110</v>
      </c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 t="s">
        <v>112</v>
      </c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 t="s">
        <v>114</v>
      </c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 t="s">
        <v>94</v>
      </c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 t="s">
        <v>93</v>
      </c>
    </row>
    <row r="12" spans="1:8">
      <c r="B12">
        <f t="shared" ref="B12:G12" ca="1" si="0">SUM(B14:B20)</f>
        <v>7</v>
      </c>
      <c r="C12">
        <f t="shared" ca="1" si="0"/>
        <v>9</v>
      </c>
      <c r="D12">
        <f t="shared" ca="1" si="0"/>
        <v>9</v>
      </c>
      <c r="E12">
        <f t="shared" ca="1" si="0"/>
        <v>12</v>
      </c>
      <c r="F12">
        <f t="shared" ca="1" si="0"/>
        <v>6</v>
      </c>
      <c r="G12">
        <f t="shared" ca="1" si="0"/>
        <v>9</v>
      </c>
      <c r="H12">
        <f ca="1">SUM(H14:H20)</f>
        <v>10</v>
      </c>
    </row>
    <row r="13" spans="1:8">
      <c r="A13" s="40" t="str">
        <f ca="1">"残比"&amp;SUM(B14:H20)/2</f>
        <v>残比31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ca="1">C24+C34+C44+C54</f>
        <v>2</v>
      </c>
      <c r="D14" s="27">
        <f t="shared" ref="D14:H15" ca="1" si="1">D24+D34+D44+D54</f>
        <v>1</v>
      </c>
      <c r="E14" s="27">
        <f t="shared" ca="1" si="1"/>
        <v>2</v>
      </c>
      <c r="F14" s="27">
        <f t="shared" ca="1" si="1"/>
        <v>0</v>
      </c>
      <c r="G14" s="27">
        <f t="shared" ca="1" si="1"/>
        <v>2</v>
      </c>
      <c r="H14" s="27">
        <f t="shared" ca="1" si="1"/>
        <v>0</v>
      </c>
    </row>
    <row r="15" spans="1:8">
      <c r="A15" s="31" t="s">
        <v>56</v>
      </c>
      <c r="B15" s="27">
        <f ca="1">B25+B35+B45+B55</f>
        <v>2</v>
      </c>
      <c r="C15" s="39"/>
      <c r="D15" s="27">
        <f t="shared" ca="1" si="1"/>
        <v>1</v>
      </c>
      <c r="E15" s="27">
        <f t="shared" ca="1" si="1"/>
        <v>1</v>
      </c>
      <c r="F15" s="27">
        <f t="shared" ca="1" si="1"/>
        <v>2</v>
      </c>
      <c r="G15" s="27">
        <f t="shared" ca="1" si="1"/>
        <v>1</v>
      </c>
      <c r="H15" s="27">
        <f t="shared" ca="1" si="1"/>
        <v>2</v>
      </c>
    </row>
    <row r="16" spans="1:8">
      <c r="A16" s="32" t="s">
        <v>60</v>
      </c>
      <c r="B16" s="27">
        <f t="shared" ref="B16:F20" ca="1" si="2">B26+B36+B46+B56</f>
        <v>1</v>
      </c>
      <c r="C16" s="27">
        <f t="shared" ca="1" si="2"/>
        <v>1</v>
      </c>
      <c r="D16" s="39"/>
      <c r="E16" s="27">
        <f t="shared" ref="E16:H16" ca="1" si="3">E26+E36+E46+E56</f>
        <v>3</v>
      </c>
      <c r="F16" s="27">
        <f t="shared" ca="1" si="3"/>
        <v>0</v>
      </c>
      <c r="G16" s="27">
        <f t="shared" ca="1" si="3"/>
        <v>2</v>
      </c>
      <c r="H16" s="27">
        <f t="shared" ca="1" si="3"/>
        <v>2</v>
      </c>
    </row>
    <row r="17" spans="1:8">
      <c r="A17" s="30" t="s">
        <v>64</v>
      </c>
      <c r="B17" s="27">
        <f t="shared" ca="1" si="2"/>
        <v>2</v>
      </c>
      <c r="C17" s="27">
        <f t="shared" ca="1" si="2"/>
        <v>1</v>
      </c>
      <c r="D17" s="27">
        <f t="shared" ca="1" si="2"/>
        <v>3</v>
      </c>
      <c r="E17" s="39"/>
      <c r="F17" s="27">
        <f t="shared" ref="F17:H17" ca="1" si="4">F27+F37+F47+F57</f>
        <v>2</v>
      </c>
      <c r="G17" s="27">
        <f t="shared" ca="1" si="4"/>
        <v>2</v>
      </c>
      <c r="H17" s="27">
        <f t="shared" ca="1" si="4"/>
        <v>2</v>
      </c>
    </row>
    <row r="18" spans="1:8">
      <c r="A18" s="31" t="s">
        <v>68</v>
      </c>
      <c r="B18" s="27">
        <f t="shared" ca="1" si="2"/>
        <v>0</v>
      </c>
      <c r="C18" s="27">
        <f t="shared" ca="1" si="2"/>
        <v>2</v>
      </c>
      <c r="D18" s="27">
        <f t="shared" ca="1" si="2"/>
        <v>0</v>
      </c>
      <c r="E18" s="27">
        <f t="shared" ca="1" si="2"/>
        <v>2</v>
      </c>
      <c r="F18" s="39"/>
      <c r="G18" s="27">
        <f t="shared" ref="G18:H18" ca="1" si="5">G28+G38+G48+G58</f>
        <v>0</v>
      </c>
      <c r="H18" s="27">
        <f t="shared" ca="1" si="5"/>
        <v>2</v>
      </c>
    </row>
    <row r="19" spans="1:8">
      <c r="A19" s="30" t="s">
        <v>72</v>
      </c>
      <c r="B19" s="27">
        <f t="shared" ca="1" si="2"/>
        <v>2</v>
      </c>
      <c r="C19" s="27">
        <f t="shared" ca="1" si="2"/>
        <v>1</v>
      </c>
      <c r="D19" s="27">
        <f t="shared" ca="1" si="2"/>
        <v>2</v>
      </c>
      <c r="E19" s="27">
        <f t="shared" ca="1" si="2"/>
        <v>2</v>
      </c>
      <c r="F19" s="27">
        <f t="shared" ca="1" si="2"/>
        <v>0</v>
      </c>
      <c r="G19" s="39"/>
      <c r="H19" s="27">
        <f t="shared" ref="H19" ca="1" si="6">H29+H39+H49+H59</f>
        <v>2</v>
      </c>
    </row>
    <row r="20" spans="1:8">
      <c r="A20" s="30" t="s">
        <v>76</v>
      </c>
      <c r="B20" s="27">
        <f t="shared" ca="1" si="2"/>
        <v>0</v>
      </c>
      <c r="C20" s="27">
        <f t="shared" ca="1" si="2"/>
        <v>2</v>
      </c>
      <c r="D20" s="27">
        <f t="shared" ca="1" si="2"/>
        <v>2</v>
      </c>
      <c r="E20" s="27">
        <f t="shared" ca="1" si="2"/>
        <v>2</v>
      </c>
      <c r="F20" s="27">
        <f t="shared" ca="1" si="2"/>
        <v>2</v>
      </c>
      <c r="G20" s="27">
        <f ca="1">G30+G40+G50+G60</f>
        <v>2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0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60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1</v>
      </c>
      <c r="F26" s="27">
        <f t="shared" ca="1" si="7"/>
        <v>0</v>
      </c>
      <c r="G26" s="27">
        <f t="shared" ca="1" si="7"/>
        <v>0</v>
      </c>
      <c r="H26" s="27">
        <f t="shared" ca="1" si="7"/>
        <v>1</v>
      </c>
    </row>
    <row r="27" spans="1:8" outlineLevel="1">
      <c r="A27" s="30" t="s">
        <v>64</v>
      </c>
      <c r="B27" s="27">
        <f t="shared" ca="1" si="8"/>
        <v>0</v>
      </c>
      <c r="C27" s="27">
        <f t="shared" ca="1" si="8"/>
        <v>0</v>
      </c>
      <c r="D27" s="27">
        <f t="shared" ca="1" si="8"/>
        <v>1</v>
      </c>
      <c r="E27" s="33"/>
      <c r="F27" s="27">
        <f t="shared" ca="1" si="7"/>
        <v>1</v>
      </c>
      <c r="G27" s="27">
        <f t="shared" ca="1" si="7"/>
        <v>0</v>
      </c>
      <c r="H27" s="27">
        <f t="shared" ca="1" si="7"/>
        <v>0</v>
      </c>
    </row>
    <row r="28" spans="1:8" outlineLevel="1">
      <c r="A28" s="31" t="s">
        <v>68</v>
      </c>
      <c r="B28" s="27">
        <f t="shared" ca="1" si="8"/>
        <v>0</v>
      </c>
      <c r="C28" s="27">
        <f t="shared" ca="1" si="8"/>
        <v>0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0</v>
      </c>
      <c r="H28" s="27">
        <f t="shared" ca="1" si="7"/>
        <v>0</v>
      </c>
    </row>
    <row r="29" spans="1:8" outlineLevel="1">
      <c r="A29" s="30" t="s">
        <v>72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8"/>
        <v>0</v>
      </c>
      <c r="C30" s="27">
        <f t="shared" ca="1" si="8"/>
        <v>0</v>
      </c>
      <c r="D30" s="27">
        <f t="shared" ca="1" si="8"/>
        <v>1</v>
      </c>
      <c r="E30" s="27">
        <f t="shared" ca="1" si="8"/>
        <v>0</v>
      </c>
      <c r="F30" s="27">
        <f t="shared" ref="F30:G30" ca="1" si="9">COUNTIF(INDIRECT($A$23&amp;"!$H:$H"),$A30&amp;F$23)+COUNTIF(INDIRECT($A$23&amp;"!$H:$H"),F$23&amp;$A30)</f>
        <v>0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60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64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68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0</v>
      </c>
      <c r="H38" s="27">
        <f t="shared" ca="1" si="10"/>
        <v>0</v>
      </c>
    </row>
    <row r="39" spans="1:8" outlineLevel="1">
      <c r="A39" s="30" t="s">
        <v>72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0</v>
      </c>
      <c r="G39" s="33"/>
      <c r="H39" s="27">
        <f t="shared" ca="1" si="10"/>
        <v>0</v>
      </c>
    </row>
    <row r="40" spans="1:8" outlineLevel="1">
      <c r="A40" s="30" t="s">
        <v>76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0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60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64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0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68</v>
      </c>
      <c r="B48" s="27">
        <f t="shared" ca="1" si="13"/>
        <v>0</v>
      </c>
      <c r="C48" s="27">
        <f t="shared" ca="1" si="13"/>
        <v>0</v>
      </c>
      <c r="D48" s="27">
        <f t="shared" ca="1" si="13"/>
        <v>0</v>
      </c>
      <c r="E48" s="27">
        <f t="shared" ca="1" si="13"/>
        <v>0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72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76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79</v>
      </c>
      <c r="B53" s="32" t="s">
        <v>80</v>
      </c>
      <c r="C53" s="32" t="s">
        <v>56</v>
      </c>
      <c r="D53" s="32" t="s">
        <v>81</v>
      </c>
      <c r="E53" s="32" t="s">
        <v>64</v>
      </c>
      <c r="F53" s="32" t="s">
        <v>68</v>
      </c>
      <c r="G53" s="32" t="s">
        <v>72</v>
      </c>
      <c r="H53" s="32" t="s">
        <v>76</v>
      </c>
    </row>
    <row r="54" spans="1:8" outlineLevel="1">
      <c r="A54" s="30" t="s">
        <v>52</v>
      </c>
      <c r="B54" s="33"/>
      <c r="C54" s="27">
        <f ca="1">COUNTIF(INDIRECT($A$53&amp;"!$H:$H"),$A54&amp;C$23)+COUNTIF(INDIRECT($A$53&amp;"!$H:$H"),C$23&amp;$A54)</f>
        <v>2</v>
      </c>
      <c r="D54" s="27">
        <f t="shared" ref="D54:H59" ca="1" si="14">COUNTIF(INDIRECT($A$53&amp;"!$H:$H"),$A54&amp;D$23)+COUNTIF(INDIRECT($A$53&amp;"!$H:$H"),D$23&amp;$A54)</f>
        <v>1</v>
      </c>
      <c r="E54" s="27">
        <f t="shared" ca="1" si="14"/>
        <v>2</v>
      </c>
      <c r="F54" s="27">
        <f t="shared" ca="1" si="14"/>
        <v>0</v>
      </c>
      <c r="G54" s="27">
        <f t="shared" ca="1" si="14"/>
        <v>2</v>
      </c>
      <c r="H54" s="27">
        <f t="shared" ca="1" si="14"/>
        <v>0</v>
      </c>
    </row>
    <row r="55" spans="1:8" outlineLevel="1">
      <c r="A55" s="31" t="s">
        <v>56</v>
      </c>
      <c r="B55" s="27">
        <f ca="1">COUNTIF(INDIRECT($A$53&amp;"!$H:$H"),$A55&amp;B$23)+COUNTIF(INDIRECT($A$53&amp;"!$H:$H"),B$23&amp;$A55)</f>
        <v>2</v>
      </c>
      <c r="C55" s="33"/>
      <c r="D55" s="27">
        <f t="shared" ca="1" si="14"/>
        <v>1</v>
      </c>
      <c r="E55" s="27">
        <f t="shared" ca="1" si="14"/>
        <v>1</v>
      </c>
      <c r="F55" s="27">
        <f t="shared" ca="1" si="14"/>
        <v>2</v>
      </c>
      <c r="G55" s="27">
        <f t="shared" ca="1" si="14"/>
        <v>1</v>
      </c>
      <c r="H55" s="27">
        <f t="shared" ca="1" si="14"/>
        <v>2</v>
      </c>
    </row>
    <row r="56" spans="1:8" outlineLevel="1">
      <c r="A56" s="32" t="s">
        <v>60</v>
      </c>
      <c r="B56" s="27">
        <f t="shared" ref="B56:F60" ca="1" si="15">COUNTIF(INDIRECT($A$53&amp;"!$H:$H"),$A56&amp;B$23)+COUNTIF(INDIRECT($A$53&amp;"!$H:$H"),B$23&amp;$A56)</f>
        <v>1</v>
      </c>
      <c r="C56" s="27">
        <f t="shared" ca="1" si="15"/>
        <v>1</v>
      </c>
      <c r="D56" s="33"/>
      <c r="E56" s="27">
        <f t="shared" ca="1" si="14"/>
        <v>2</v>
      </c>
      <c r="F56" s="27">
        <f t="shared" ca="1" si="14"/>
        <v>0</v>
      </c>
      <c r="G56" s="27">
        <f t="shared" ca="1" si="14"/>
        <v>2</v>
      </c>
      <c r="H56" s="27">
        <f t="shared" ca="1" si="14"/>
        <v>1</v>
      </c>
    </row>
    <row r="57" spans="1:8" outlineLevel="1">
      <c r="A57" s="30" t="s">
        <v>64</v>
      </c>
      <c r="B57" s="27">
        <f t="shared" ca="1" si="15"/>
        <v>2</v>
      </c>
      <c r="C57" s="27">
        <f t="shared" ca="1" si="15"/>
        <v>1</v>
      </c>
      <c r="D57" s="27">
        <f t="shared" ca="1" si="15"/>
        <v>2</v>
      </c>
      <c r="E57" s="33"/>
      <c r="F57" s="27">
        <f t="shared" ca="1" si="14"/>
        <v>1</v>
      </c>
      <c r="G57" s="27">
        <f t="shared" ca="1" si="14"/>
        <v>2</v>
      </c>
      <c r="H57" s="27">
        <f t="shared" ca="1" si="14"/>
        <v>2</v>
      </c>
    </row>
    <row r="58" spans="1:8" outlineLevel="1">
      <c r="A58" s="31" t="s">
        <v>68</v>
      </c>
      <c r="B58" s="27">
        <f t="shared" ca="1" si="15"/>
        <v>0</v>
      </c>
      <c r="C58" s="27">
        <f t="shared" ca="1" si="15"/>
        <v>2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0</v>
      </c>
      <c r="H58" s="27">
        <f t="shared" ca="1" si="14"/>
        <v>2</v>
      </c>
    </row>
    <row r="59" spans="1:8" outlineLevel="1">
      <c r="A59" s="30" t="s">
        <v>72</v>
      </c>
      <c r="B59" s="27">
        <f t="shared" ca="1" si="15"/>
        <v>2</v>
      </c>
      <c r="C59" s="27">
        <f t="shared" ca="1" si="15"/>
        <v>1</v>
      </c>
      <c r="D59" s="27">
        <f t="shared" ca="1" si="15"/>
        <v>2</v>
      </c>
      <c r="E59" s="27">
        <f t="shared" ca="1" si="15"/>
        <v>2</v>
      </c>
      <c r="F59" s="27">
        <f t="shared" ca="1" si="15"/>
        <v>0</v>
      </c>
      <c r="G59" s="33"/>
      <c r="H59" s="27">
        <f t="shared" ca="1" si="14"/>
        <v>2</v>
      </c>
    </row>
    <row r="60" spans="1:8" outlineLevel="1">
      <c r="A60" s="30" t="s">
        <v>76</v>
      </c>
      <c r="B60" s="27">
        <f t="shared" ca="1" si="15"/>
        <v>0</v>
      </c>
      <c r="C60" s="27">
        <f t="shared" ca="1" si="15"/>
        <v>2</v>
      </c>
      <c r="D60" s="27">
        <f t="shared" ca="1" si="15"/>
        <v>1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2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95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96</v>
      </c>
      <c r="C3" s="2">
        <v>12</v>
      </c>
      <c r="D3" s="2">
        <v>9</v>
      </c>
      <c r="E3" s="2">
        <v>0</v>
      </c>
      <c r="F3" s="2">
        <v>3</v>
      </c>
      <c r="G3" s="2">
        <v>19</v>
      </c>
      <c r="H3" s="2">
        <v>9</v>
      </c>
      <c r="I3" s="2">
        <v>10</v>
      </c>
      <c r="J3" s="2">
        <v>27</v>
      </c>
      <c r="K3" s="23" t="str">
        <f t="shared" si="0"/>
        <v>锁二</v>
      </c>
      <c r="L3" s="22">
        <f t="shared" ref="L3:L8" si="1">((COUNTA(A$2:A$15)-1)*2-C3)*3+J3</f>
        <v>27</v>
      </c>
      <c r="M3" s="22"/>
    </row>
    <row r="4" spans="1:13">
      <c r="A4" s="3">
        <v>3</v>
      </c>
      <c r="B4" s="2" t="s">
        <v>97</v>
      </c>
      <c r="C4" s="2">
        <v>12</v>
      </c>
      <c r="D4" s="2">
        <v>7</v>
      </c>
      <c r="E4" s="2">
        <v>1</v>
      </c>
      <c r="F4" s="2">
        <v>4</v>
      </c>
      <c r="G4" s="2">
        <v>22</v>
      </c>
      <c r="H4" s="2">
        <v>17</v>
      </c>
      <c r="I4" s="2">
        <v>5</v>
      </c>
      <c r="J4" s="2">
        <v>22</v>
      </c>
      <c r="K4" s="23" t="str">
        <f t="shared" si="0"/>
        <v>锁三</v>
      </c>
      <c r="L4" s="22">
        <f t="shared" si="1"/>
        <v>22</v>
      </c>
      <c r="M4" s="22"/>
    </row>
    <row r="5" spans="1:13">
      <c r="A5" s="3">
        <v>4</v>
      </c>
      <c r="B5" s="2" t="s">
        <v>98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99</v>
      </c>
      <c r="C6" s="2">
        <v>10</v>
      </c>
      <c r="D6" s="2">
        <v>4</v>
      </c>
      <c r="E6" s="2">
        <v>1</v>
      </c>
      <c r="F6" s="2">
        <v>5</v>
      </c>
      <c r="G6" s="2">
        <v>14</v>
      </c>
      <c r="H6" s="2">
        <v>15</v>
      </c>
      <c r="I6" s="2">
        <v>-1</v>
      </c>
      <c r="J6" s="2">
        <v>13</v>
      </c>
      <c r="K6" s="23" t="str">
        <f t="shared" si="0"/>
        <v/>
      </c>
      <c r="L6" s="22">
        <f t="shared" si="1"/>
        <v>19</v>
      </c>
      <c r="M6" s="22"/>
    </row>
    <row r="7" spans="1:13">
      <c r="A7" s="3">
        <v>6</v>
      </c>
      <c r="B7" s="2" t="s">
        <v>100</v>
      </c>
      <c r="C7" s="2">
        <v>10</v>
      </c>
      <c r="D7" s="2">
        <v>2</v>
      </c>
      <c r="E7" s="2">
        <v>0</v>
      </c>
      <c r="F7" s="2">
        <v>8</v>
      </c>
      <c r="G7" s="2">
        <v>8</v>
      </c>
      <c r="H7" s="2">
        <v>21</v>
      </c>
      <c r="I7" s="2">
        <v>-13</v>
      </c>
      <c r="J7" s="2">
        <v>6</v>
      </c>
      <c r="K7" s="23" t="str">
        <f t="shared" si="0"/>
        <v/>
      </c>
      <c r="L7" s="22">
        <f t="shared" si="1"/>
        <v>12</v>
      </c>
      <c r="M7" s="22"/>
    </row>
    <row r="8" spans="1:13">
      <c r="A8" s="3">
        <v>7</v>
      </c>
      <c r="B8" s="2" t="s">
        <v>101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J18" sqref="J18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102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103</v>
      </c>
      <c r="C3" s="2">
        <v>12</v>
      </c>
      <c r="D3" s="2">
        <v>8</v>
      </c>
      <c r="E3" s="2">
        <v>1</v>
      </c>
      <c r="F3" s="2">
        <v>3</v>
      </c>
      <c r="G3" s="2">
        <v>29</v>
      </c>
      <c r="H3" s="2">
        <v>13</v>
      </c>
      <c r="I3" s="2">
        <v>16</v>
      </c>
      <c r="J3" s="2">
        <v>25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104</v>
      </c>
      <c r="C4" s="2">
        <v>12</v>
      </c>
      <c r="D4" s="2">
        <v>8</v>
      </c>
      <c r="E4" s="2">
        <v>1</v>
      </c>
      <c r="F4" s="2">
        <v>3</v>
      </c>
      <c r="G4" s="2">
        <v>20</v>
      </c>
      <c r="H4" s="2">
        <v>9</v>
      </c>
      <c r="I4" s="2">
        <v>11</v>
      </c>
      <c r="J4" s="2">
        <v>25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105</v>
      </c>
      <c r="C5" s="2">
        <v>12</v>
      </c>
      <c r="D5" s="2">
        <v>8</v>
      </c>
      <c r="E5" s="2">
        <v>1</v>
      </c>
      <c r="F5" s="2">
        <v>3</v>
      </c>
      <c r="G5" s="2">
        <v>18</v>
      </c>
      <c r="H5" s="2">
        <v>15</v>
      </c>
      <c r="I5" s="2">
        <v>3</v>
      </c>
      <c r="J5" s="2">
        <v>25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106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107</v>
      </c>
      <c r="C7" s="2">
        <v>12</v>
      </c>
      <c r="D7" s="2">
        <v>1</v>
      </c>
      <c r="E7" s="2">
        <v>1</v>
      </c>
      <c r="F7" s="2">
        <v>10</v>
      </c>
      <c r="G7" s="2">
        <v>6</v>
      </c>
      <c r="H7" s="2">
        <v>24</v>
      </c>
      <c r="I7" s="2">
        <v>-18</v>
      </c>
      <c r="J7" s="2">
        <v>4</v>
      </c>
      <c r="K7" s="23" t="str">
        <f t="shared" si="0"/>
        <v/>
      </c>
      <c r="L7" s="22">
        <f t="shared" si="1"/>
        <v>4</v>
      </c>
    </row>
    <row r="8" spans="1:12">
      <c r="A8" s="3">
        <v>7</v>
      </c>
      <c r="B8" s="2" t="s">
        <v>108</v>
      </c>
      <c r="C8" s="2">
        <v>12</v>
      </c>
      <c r="D8" s="2">
        <v>0</v>
      </c>
      <c r="E8" s="2">
        <v>1</v>
      </c>
      <c r="F8" s="2">
        <v>11</v>
      </c>
      <c r="G8" s="2">
        <v>4</v>
      </c>
      <c r="H8" s="2">
        <v>30</v>
      </c>
      <c r="I8" s="2">
        <v>-26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3" sqref="K13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128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129</v>
      </c>
      <c r="C3" s="2">
        <v>12</v>
      </c>
      <c r="D3" s="2">
        <v>8</v>
      </c>
      <c r="E3" s="2">
        <v>2</v>
      </c>
      <c r="F3" s="2">
        <v>2</v>
      </c>
      <c r="G3" s="2">
        <v>27</v>
      </c>
      <c r="H3" s="2">
        <v>13</v>
      </c>
      <c r="I3" s="2">
        <v>14</v>
      </c>
      <c r="J3" s="2">
        <v>26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125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123</v>
      </c>
      <c r="C5" s="2">
        <v>12</v>
      </c>
      <c r="D5" s="2">
        <v>6</v>
      </c>
      <c r="E5" s="2">
        <v>2</v>
      </c>
      <c r="F5" s="2">
        <v>4</v>
      </c>
      <c r="G5" s="2">
        <v>19</v>
      </c>
      <c r="H5" s="2">
        <v>15</v>
      </c>
      <c r="I5" s="2">
        <v>4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124</v>
      </c>
      <c r="C6" s="2">
        <v>12</v>
      </c>
      <c r="D6" s="2">
        <v>3</v>
      </c>
      <c r="E6" s="2">
        <v>3</v>
      </c>
      <c r="F6" s="2">
        <v>6</v>
      </c>
      <c r="G6" s="2">
        <v>16</v>
      </c>
      <c r="H6" s="2">
        <v>30</v>
      </c>
      <c r="I6" s="2">
        <v>-14</v>
      </c>
      <c r="J6" s="2">
        <v>12</v>
      </c>
      <c r="K6" s="23" t="str">
        <f t="shared" si="0"/>
        <v/>
      </c>
      <c r="L6" s="22">
        <f t="shared" si="1"/>
        <v>12</v>
      </c>
    </row>
    <row r="7" spans="1:12">
      <c r="A7" s="3">
        <v>6</v>
      </c>
      <c r="B7" s="2" t="s">
        <v>126</v>
      </c>
      <c r="C7" s="2">
        <v>12</v>
      </c>
      <c r="D7" s="2">
        <v>2</v>
      </c>
      <c r="E7" s="2">
        <v>4</v>
      </c>
      <c r="F7" s="2">
        <v>6</v>
      </c>
      <c r="G7" s="2">
        <v>16</v>
      </c>
      <c r="H7" s="2">
        <v>21</v>
      </c>
      <c r="I7" s="2">
        <v>-5</v>
      </c>
      <c r="J7" s="2">
        <v>10</v>
      </c>
      <c r="K7" s="23" t="str">
        <f t="shared" si="0"/>
        <v/>
      </c>
      <c r="L7" s="22">
        <f t="shared" si="1"/>
        <v>10</v>
      </c>
    </row>
    <row r="8" spans="1:12">
      <c r="A8" s="3">
        <v>7</v>
      </c>
      <c r="B8" s="2" t="s">
        <v>127</v>
      </c>
      <c r="C8" s="2">
        <v>12</v>
      </c>
      <c r="D8" s="2">
        <v>0</v>
      </c>
      <c r="E8" s="2">
        <v>1</v>
      </c>
      <c r="F8" s="2">
        <v>11</v>
      </c>
      <c r="G8" s="2">
        <v>5</v>
      </c>
      <c r="H8" s="2">
        <v>23</v>
      </c>
      <c r="I8" s="2">
        <v>-18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D10" sqref="D10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116</v>
      </c>
      <c r="C1" s="42" t="s">
        <v>117</v>
      </c>
      <c r="D1" s="42" t="s">
        <v>118</v>
      </c>
      <c r="E1" s="42" t="s">
        <v>20</v>
      </c>
      <c r="F1" s="42" t="s">
        <v>119</v>
      </c>
      <c r="G1" s="42" t="s">
        <v>120</v>
      </c>
      <c r="H1" s="42" t="s">
        <v>22</v>
      </c>
      <c r="I1" s="42" t="s">
        <v>121</v>
      </c>
      <c r="J1" s="42" t="s">
        <v>122</v>
      </c>
      <c r="K1" s="24">
        <v>1</v>
      </c>
      <c r="L1" s="21" t="s">
        <v>92</v>
      </c>
    </row>
    <row r="2" spans="1:12">
      <c r="A2" s="3">
        <v>1</v>
      </c>
      <c r="B2" s="2" t="s">
        <v>132</v>
      </c>
      <c r="C2" s="2">
        <v>5</v>
      </c>
      <c r="D2" s="2">
        <v>5</v>
      </c>
      <c r="E2" s="2">
        <v>0</v>
      </c>
      <c r="F2" s="2">
        <v>0</v>
      </c>
      <c r="G2" s="2">
        <v>20</v>
      </c>
      <c r="H2" s="2">
        <v>4</v>
      </c>
      <c r="I2" s="2">
        <v>16</v>
      </c>
      <c r="J2" s="9">
        <v>15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133</v>
      </c>
      <c r="C3" s="2">
        <v>5</v>
      </c>
      <c r="D3" s="2">
        <v>3</v>
      </c>
      <c r="E3" s="2">
        <v>0</v>
      </c>
      <c r="F3" s="2">
        <v>2</v>
      </c>
      <c r="G3" s="2">
        <v>7</v>
      </c>
      <c r="H3" s="2">
        <v>9</v>
      </c>
      <c r="I3" s="2">
        <v>-2</v>
      </c>
      <c r="J3" s="2">
        <v>9</v>
      </c>
      <c r="K3" s="23" t="str">
        <f t="shared" si="0"/>
        <v/>
      </c>
      <c r="L3" s="22">
        <f t="shared" ref="L3:L8" si="1">((COUNTA(A$2:A$15)-1)*2-C3)*3+J3</f>
        <v>30</v>
      </c>
    </row>
    <row r="4" spans="1:12">
      <c r="A4" s="3">
        <v>3</v>
      </c>
      <c r="B4" s="2" t="s">
        <v>134</v>
      </c>
      <c r="C4" s="2">
        <v>7</v>
      </c>
      <c r="D4" s="2">
        <v>2</v>
      </c>
      <c r="E4" s="2">
        <v>1</v>
      </c>
      <c r="F4" s="2">
        <v>4</v>
      </c>
      <c r="G4" s="2">
        <v>8</v>
      </c>
      <c r="H4" s="2">
        <v>12</v>
      </c>
      <c r="I4" s="2">
        <v>-4</v>
      </c>
      <c r="J4" s="2">
        <v>7</v>
      </c>
      <c r="K4" s="23" t="str">
        <f t="shared" si="0"/>
        <v/>
      </c>
      <c r="L4" s="22">
        <f t="shared" si="1"/>
        <v>22</v>
      </c>
    </row>
    <row r="5" spans="1:12">
      <c r="A5" s="3">
        <v>4</v>
      </c>
      <c r="B5" s="2" t="s">
        <v>135</v>
      </c>
      <c r="C5" s="2">
        <v>3</v>
      </c>
      <c r="D5" s="2">
        <v>2</v>
      </c>
      <c r="E5" s="2">
        <v>0</v>
      </c>
      <c r="F5" s="2">
        <v>1</v>
      </c>
      <c r="G5" s="2">
        <v>7</v>
      </c>
      <c r="H5" s="2">
        <v>6</v>
      </c>
      <c r="I5" s="2">
        <v>1</v>
      </c>
      <c r="J5" s="2">
        <v>6</v>
      </c>
      <c r="K5" s="23" t="str">
        <f t="shared" si="0"/>
        <v/>
      </c>
      <c r="L5" s="22">
        <f t="shared" si="1"/>
        <v>33</v>
      </c>
    </row>
    <row r="6" spans="1:12">
      <c r="A6" s="3">
        <v>5</v>
      </c>
      <c r="B6" s="2" t="s">
        <v>136</v>
      </c>
      <c r="C6" s="2">
        <v>3</v>
      </c>
      <c r="D6" s="2">
        <v>1</v>
      </c>
      <c r="E6" s="2">
        <v>0</v>
      </c>
      <c r="F6" s="2">
        <v>2</v>
      </c>
      <c r="G6" s="2">
        <v>3</v>
      </c>
      <c r="H6" s="2">
        <v>9</v>
      </c>
      <c r="I6" s="2">
        <v>-6</v>
      </c>
      <c r="J6" s="2">
        <v>3</v>
      </c>
      <c r="K6" s="23" t="str">
        <f t="shared" si="0"/>
        <v/>
      </c>
      <c r="L6" s="22">
        <f t="shared" si="1"/>
        <v>30</v>
      </c>
    </row>
    <row r="7" spans="1:12">
      <c r="A7" s="3">
        <v>6</v>
      </c>
      <c r="B7" s="2" t="s">
        <v>137</v>
      </c>
      <c r="C7" s="2">
        <v>3</v>
      </c>
      <c r="D7" s="2">
        <v>0</v>
      </c>
      <c r="E7" s="2">
        <v>1</v>
      </c>
      <c r="F7" s="2">
        <v>2</v>
      </c>
      <c r="G7" s="2">
        <v>3</v>
      </c>
      <c r="H7" s="2">
        <v>5</v>
      </c>
      <c r="I7" s="2">
        <v>-2</v>
      </c>
      <c r="J7" s="2">
        <v>1</v>
      </c>
      <c r="K7" s="23" t="str">
        <f t="shared" si="0"/>
        <v/>
      </c>
      <c r="L7" s="22">
        <f t="shared" si="1"/>
        <v>28</v>
      </c>
    </row>
    <row r="8" spans="1:12">
      <c r="A8" s="3">
        <v>7</v>
      </c>
      <c r="B8" s="2" t="s">
        <v>138</v>
      </c>
      <c r="C8" s="2">
        <v>2</v>
      </c>
      <c r="D8" s="2">
        <v>0</v>
      </c>
      <c r="E8" s="2">
        <v>0</v>
      </c>
      <c r="F8" s="2">
        <v>2</v>
      </c>
      <c r="G8" s="2">
        <v>1</v>
      </c>
      <c r="H8" s="2">
        <v>4</v>
      </c>
      <c r="I8" s="2">
        <v>-3</v>
      </c>
      <c r="J8" s="10">
        <v>0</v>
      </c>
      <c r="K8" s="23" t="str">
        <f t="shared" si="0"/>
        <v/>
      </c>
      <c r="L8" s="22">
        <f t="shared" si="1"/>
        <v>30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6" workbookViewId="0">
      <selection activeCell="H65" sqref="H65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C48">
        <v>2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0" workbookViewId="0">
      <selection activeCell="F39" sqref="F3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C8">
        <v>0</v>
      </c>
      <c r="D8">
        <v>4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C68">
        <v>2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8" workbookViewId="0">
      <selection activeCell="E38" sqref="E3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C48">
        <v>4</v>
      </c>
      <c r="D48">
        <v>2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C54">
        <v>1</v>
      </c>
      <c r="D54">
        <v>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C60">
        <v>2</v>
      </c>
      <c r="D60">
        <v>1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topLeftCell="A40" workbookViewId="0">
      <selection activeCell="H58" sqref="H5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115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130</v>
      </c>
      <c r="B2" t="s">
        <v>113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131</v>
      </c>
      <c r="B3" t="s">
        <v>111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44</v>
      </c>
      <c r="B5" t="s">
        <v>49</v>
      </c>
      <c r="F5" s="35" t="str">
        <f ca="1">IF(OR(OR($A5="",$B5=""),AND($C5&lt;&gt;"",$D5&lt;&gt;"")),"",VLOOKUP(A5,IF({1,0},INDIRECT("达修波得!$"&amp;$E$1&amp;"$2:$"&amp;$E$1&amp;"$8"),达修波得!$A$2:$A$8),2,FALSE))</f>
        <v>贝</v>
      </c>
      <c r="G5" s="35" t="str">
        <f ca="1">IF(OR(OR($A5="",$B5=""),AND($C5&lt;&gt;"",$D5&lt;&gt;"")),"",VLOOKUP(B5,IF({1,0},INDIRECT("达修波得!$"&amp;$E$1&amp;"$2:$"&amp;$E$1&amp;"$8"),达修波得!$A$2:$A$8),2,FALSE))</f>
        <v>磊</v>
      </c>
      <c r="H5" s="35" t="str">
        <f t="shared" ca="1" si="0"/>
        <v>贝磊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130</v>
      </c>
      <c r="B7" t="s">
        <v>111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113</v>
      </c>
      <c r="B8" t="s">
        <v>13</v>
      </c>
      <c r="C8">
        <v>1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131</v>
      </c>
      <c r="B9" t="s">
        <v>49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44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130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111</v>
      </c>
      <c r="B13" t="s">
        <v>49</v>
      </c>
      <c r="C13">
        <v>1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113</v>
      </c>
      <c r="B14" t="s">
        <v>44</v>
      </c>
      <c r="C14">
        <v>1</v>
      </c>
      <c r="D14">
        <v>5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131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130</v>
      </c>
      <c r="B17" t="s">
        <v>49</v>
      </c>
      <c r="C17">
        <v>2</v>
      </c>
      <c r="D17">
        <v>3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13</v>
      </c>
      <c r="B18" t="s">
        <v>44</v>
      </c>
      <c r="C18">
        <v>0</v>
      </c>
      <c r="D18">
        <v>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113</v>
      </c>
      <c r="B20" t="s">
        <v>131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130</v>
      </c>
      <c r="B22" t="s">
        <v>44</v>
      </c>
      <c r="F22" s="35" t="str">
        <f ca="1">IF(OR(OR($A22="",$B22=""),AND($C22&lt;&gt;"",$D22&lt;&gt;"")),"",VLOOKUP(A22,IF({1,0},INDIRECT("达修波得!$"&amp;$E$1&amp;"$2:$"&amp;$E$1&amp;"$8"),达修波得!$A$2:$A$8),2,FALSE))</f>
        <v>黑</v>
      </c>
      <c r="G22" s="35" t="str">
        <f ca="1">IF(OR(OR($A22="",$B22=""),AND($C22&lt;&gt;"",$D22&lt;&gt;"")),"",VLOOKUP(B22,IF({1,0},INDIRECT("达修波得!$"&amp;$E$1&amp;"$2:$"&amp;$E$1&amp;"$8"),达修波得!$A$2:$A$8),2,FALSE))</f>
        <v>贝</v>
      </c>
      <c r="H22" s="35" t="str">
        <f t="shared" ca="1" si="0"/>
        <v>黑贝</v>
      </c>
    </row>
    <row r="23" spans="1:8">
      <c r="A23" t="s">
        <v>49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131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111</v>
      </c>
      <c r="B25" t="s">
        <v>113</v>
      </c>
      <c r="C25">
        <v>0</v>
      </c>
      <c r="D25">
        <v>2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130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44</v>
      </c>
      <c r="B28" t="s">
        <v>131</v>
      </c>
      <c r="C28">
        <v>4</v>
      </c>
      <c r="D28">
        <v>1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49</v>
      </c>
      <c r="B29" t="s">
        <v>113</v>
      </c>
      <c r="F29" s="35" t="str">
        <f ca="1">IF(OR(OR($A29="",$B29=""),AND($C29&lt;&gt;"",$D29&lt;&gt;"")),"",VLOOKUP(A29,IF({1,0},INDIRECT("达修波得!$"&amp;$E$1&amp;"$2:$"&amp;$E$1&amp;"$8"),达修波得!$A$2:$A$8),2,FALSE))</f>
        <v>磊</v>
      </c>
      <c r="G29" s="35" t="str">
        <f ca="1">IF(OR(OR($A29="",$B29=""),AND($C29&lt;&gt;"",$D29&lt;&gt;"")),"",VLOOKUP(B29,IF({1,0},INDIRECT("达修波得!$"&amp;$E$1&amp;"$2:$"&amp;$E$1&amp;"$8"),达修波得!$A$2:$A$8),2,FALSE))</f>
        <v>爷</v>
      </c>
      <c r="H29" s="35" t="str">
        <f t="shared" ca="1" si="0"/>
        <v>磊爷</v>
      </c>
    </row>
    <row r="30" spans="1:8">
      <c r="A30" t="s">
        <v>13</v>
      </c>
      <c r="B30" t="s">
        <v>111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130</v>
      </c>
      <c r="B32" t="s">
        <v>131</v>
      </c>
      <c r="F32" s="35" t="str">
        <f ca="1">IF(OR(OR($A32="",$B32=""),AND($C32&lt;&gt;"",$D32&lt;&gt;"")),"",VLOOKUP(A32,IF({1,0},INDIRECT("达修波得!$"&amp;$E$1&amp;"$2:$"&amp;$E$1&amp;"$8"),达修波得!$A$2:$A$8),2,FALSE))</f>
        <v>黑</v>
      </c>
      <c r="G32" s="35" t="str">
        <f ca="1">IF(OR(OR($A32="",$B32=""),AND($C32&lt;&gt;"",$D32&lt;&gt;"")),"",VLOOKUP(B32,IF({1,0},INDIRECT("达修波得!$"&amp;$E$1&amp;"$2:$"&amp;$E$1&amp;"$8"),达修波得!$A$2:$A$8),2,FALSE))</f>
        <v>宇</v>
      </c>
      <c r="H32" s="35" t="str">
        <f t="shared" ca="1" si="0"/>
        <v>黑宇</v>
      </c>
    </row>
    <row r="33" spans="1:8">
      <c r="B33" t="s">
        <v>113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44</v>
      </c>
      <c r="B34" t="s">
        <v>111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49</v>
      </c>
      <c r="B35" t="s">
        <v>13</v>
      </c>
      <c r="C35">
        <v>2</v>
      </c>
      <c r="D35">
        <v>3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113</v>
      </c>
      <c r="B37" t="s">
        <v>130</v>
      </c>
      <c r="C37">
        <v>1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111</v>
      </c>
      <c r="B38" t="s">
        <v>131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49</v>
      </c>
      <c r="B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111</v>
      </c>
      <c r="B42" t="s">
        <v>130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13</v>
      </c>
      <c r="B43" t="s">
        <v>113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49</v>
      </c>
      <c r="B44" t="s">
        <v>131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44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130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49</v>
      </c>
      <c r="B48" t="s">
        <v>111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44</v>
      </c>
      <c r="B49" t="s">
        <v>113</v>
      </c>
      <c r="C49">
        <v>3</v>
      </c>
      <c r="D49">
        <v>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131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49</v>
      </c>
      <c r="B52" t="s">
        <v>130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44</v>
      </c>
      <c r="B53" t="s">
        <v>13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111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131</v>
      </c>
      <c r="B55" t="s">
        <v>113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44</v>
      </c>
      <c r="B57" t="s">
        <v>130</v>
      </c>
      <c r="F57" s="35" t="str">
        <f ca="1">IF(OR(OR($A57="",$B57=""),AND($C57&lt;&gt;"",$D57&lt;&gt;"")),"",VLOOKUP(A57,IF({1,0},INDIRECT("达修波得!$"&amp;$E$1&amp;"$2:$"&amp;$E$1&amp;"$8"),达修波得!$A$2:$A$8),2,FALSE))</f>
        <v>贝</v>
      </c>
      <c r="G57" s="35" t="str">
        <f ca="1">IF(OR(OR($A57="",$B57=""),AND($C57&lt;&gt;"",$D57&lt;&gt;"")),"",VLOOKUP(B57,IF({1,0},INDIRECT("达修波得!$"&amp;$E$1&amp;"$2:$"&amp;$E$1&amp;"$8"),达修波得!$A$2:$A$8),2,FALSE))</f>
        <v>黑</v>
      </c>
      <c r="H57" s="35" t="str">
        <f t="shared" ca="1" si="0"/>
        <v>贝黑</v>
      </c>
    </row>
    <row r="58" spans="1:8">
      <c r="B58" t="s">
        <v>49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131</v>
      </c>
      <c r="B59" t="s">
        <v>13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113</v>
      </c>
      <c r="B60" t="s">
        <v>111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130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131</v>
      </c>
      <c r="B63" t="s">
        <v>44</v>
      </c>
      <c r="C63">
        <v>0</v>
      </c>
      <c r="D63">
        <v>4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113</v>
      </c>
      <c r="B64" t="s">
        <v>49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111</v>
      </c>
      <c r="B65" t="s">
        <v>13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131</v>
      </c>
      <c r="B67" t="s">
        <v>130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ca="1" si="1"/>
        <v>宇黑</v>
      </c>
    </row>
    <row r="68" spans="1:8">
      <c r="A68" t="s">
        <v>113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111</v>
      </c>
      <c r="B69" t="s">
        <v>44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13</v>
      </c>
      <c r="B70" t="s">
        <v>49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2018-05-31T05:26:15Z</dcterms:modified>
</cp:coreProperties>
</file>