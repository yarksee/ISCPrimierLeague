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24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34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44" i="7"/>
  <c r="G14"/>
  <c r="G25"/>
  <c r="G35"/>
  <c r="G45"/>
  <c r="G15"/>
  <c r="G26"/>
  <c r="G36"/>
  <c r="G46"/>
  <c r="G16"/>
  <c r="G27"/>
  <c r="G37"/>
  <c r="G47"/>
  <c r="G17"/>
  <c r="G28"/>
  <c r="G38"/>
  <c r="G48"/>
  <c r="G18"/>
  <c r="G30"/>
  <c r="G40"/>
  <c r="G50"/>
  <c r="G20"/>
  <c r="G12"/>
  <c r="F24"/>
  <c r="F34"/>
  <c r="F44"/>
  <c r="F14"/>
  <c r="F25"/>
  <c r="F35"/>
  <c r="F45"/>
  <c r="F15"/>
  <c r="F26"/>
  <c r="F36"/>
  <c r="F46"/>
  <c r="F16"/>
  <c r="F27"/>
  <c r="F37"/>
  <c r="F47"/>
  <c r="F17"/>
  <c r="F29"/>
  <c r="F39"/>
  <c r="F49"/>
  <c r="F19"/>
  <c r="F30"/>
  <c r="F40"/>
  <c r="F50"/>
  <c r="F20"/>
  <c r="F12"/>
  <c r="E24"/>
  <c r="E34"/>
  <c r="E44"/>
  <c r="E14"/>
  <c r="E25"/>
  <c r="E35"/>
  <c r="E45"/>
  <c r="E15"/>
  <c r="E26"/>
  <c r="E36"/>
  <c r="E46"/>
  <c r="E16"/>
  <c r="E28"/>
  <c r="E38"/>
  <c r="E48"/>
  <c r="E18"/>
  <c r="E29"/>
  <c r="E39"/>
  <c r="E49"/>
  <c r="E19"/>
  <c r="E30"/>
  <c r="E40"/>
  <c r="E50"/>
  <c r="E20"/>
  <c r="E12"/>
  <c r="D24"/>
  <c r="D34"/>
  <c r="D44"/>
  <c r="D14"/>
  <c r="D25"/>
  <c r="D35"/>
  <c r="D45"/>
  <c r="D15"/>
  <c r="D27"/>
  <c r="D37"/>
  <c r="D47"/>
  <c r="D17"/>
  <c r="D28"/>
  <c r="D38"/>
  <c r="D48"/>
  <c r="D18"/>
  <c r="D29"/>
  <c r="D39"/>
  <c r="D49"/>
  <c r="D19"/>
  <c r="D30"/>
  <c r="D40"/>
  <c r="D50"/>
  <c r="D20"/>
  <c r="D12"/>
  <c r="C24"/>
  <c r="C34"/>
  <c r="C44"/>
  <c r="C14"/>
  <c r="C26"/>
  <c r="C36"/>
  <c r="C46"/>
  <c r="C16"/>
  <c r="C27"/>
  <c r="C37"/>
  <c r="C47"/>
  <c r="C17"/>
  <c r="C28"/>
  <c r="C38"/>
  <c r="C48"/>
  <c r="C18"/>
  <c r="C29"/>
  <c r="C39"/>
  <c r="C49"/>
  <c r="C19"/>
  <c r="C30"/>
  <c r="C40"/>
  <c r="C50"/>
  <c r="C20"/>
  <c r="C12"/>
  <c r="B25"/>
  <c r="B35"/>
  <c r="B45"/>
  <c r="B15"/>
  <c r="B26"/>
  <c r="B36"/>
  <c r="B46"/>
  <c r="B16"/>
  <c r="B27"/>
  <c r="B37"/>
  <c r="B47"/>
  <c r="B17"/>
  <c r="B28"/>
  <c r="B38"/>
  <c r="B48"/>
  <c r="B18"/>
  <c r="B29"/>
  <c r="B39"/>
  <c r="B49"/>
  <c r="B19"/>
  <c r="B30"/>
  <c r="B40"/>
  <c r="B50"/>
  <c r="B20"/>
  <c r="B12"/>
  <c r="H24"/>
  <c r="H34"/>
  <c r="H44"/>
  <c r="H14"/>
  <c r="H25"/>
  <c r="H35"/>
  <c r="H45"/>
  <c r="H15"/>
  <c r="H26"/>
  <c r="H36"/>
  <c r="H46"/>
  <c r="H16"/>
  <c r="H27"/>
  <c r="H37"/>
  <c r="H47"/>
  <c r="H17"/>
  <c r="H28"/>
  <c r="H38"/>
  <c r="H48"/>
  <c r="H18"/>
  <c r="H29"/>
  <c r="H39"/>
  <c r="H49"/>
  <c r="H19"/>
  <c r="H12"/>
  <c r="L2" i="6" l="1"/>
  <c r="L3"/>
  <c r="L4"/>
  <c r="L5"/>
  <c r="L6"/>
  <c r="L7"/>
  <c r="L8"/>
  <c r="K8"/>
  <c r="K7"/>
  <c r="K6"/>
  <c r="K5"/>
  <c r="K4"/>
  <c r="K3"/>
  <c r="K2"/>
  <c r="L2" i="5"/>
  <c r="L3"/>
  <c r="L4"/>
  <c r="L5"/>
  <c r="L6"/>
  <c r="L7"/>
  <c r="L8"/>
  <c r="K8"/>
  <c r="K7"/>
  <c r="K6"/>
  <c r="K5"/>
  <c r="K4"/>
  <c r="K3"/>
  <c r="K2"/>
  <c r="L2" i="1"/>
  <c r="L3"/>
  <c r="L4"/>
  <c r="L5"/>
  <c r="L6"/>
  <c r="L7"/>
  <c r="L8"/>
  <c r="K7"/>
  <c r="K6"/>
  <c r="K5"/>
  <c r="K4"/>
  <c r="K3"/>
  <c r="K2"/>
  <c r="K8"/>
  <c r="A13" i="7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</calcChain>
</file>

<file path=xl/sharedStrings.xml><?xml version="1.0" encoding="utf-8"?>
<sst xmlns="http://schemas.openxmlformats.org/spreadsheetml/2006/main" count="505" uniqueCount="114">
  <si>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</si>
  <si>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</si>
  <si>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</si>
  <si>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</si>
  <si>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</si>
  <si>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</si>
  <si>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</si>
  <si>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</si>
  <si>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</si>
  <si>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</si>
  <si>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</si>
  <si>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</si>
  <si>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</si>
  <si>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</si>
  <si>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</si>
  <si>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</si>
  <si>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</si>
  <si>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</si>
  <si>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</si>
  <si>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</si>
  <si>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</si>
  <si>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</si>
  <si>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</si>
  <si>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</si>
  <si>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</si>
  <si>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</si>
  <si>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</si>
  <si>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</si>
  <si>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</si>
  <si>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</si>
  <si>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</si>
  <si>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</si>
  <si>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</si>
  <si>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</si>
  <si>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</si>
  <si>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</si>
  <si>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</si>
  <si>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</si>
  <si>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</si>
  <si>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</si>
  <si>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</si>
  <si>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</si>
  <si>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</si>
  <si>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</si>
  <si>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</si>
  <si>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</si>
  <si>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</si>
  <si>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</si>
  <si>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</si>
  <si>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</si>
  <si>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</si>
  <si>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</si>
  <si>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</si>
  <si>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</si>
  <si>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</si>
  <si>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</si>
  <si>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</si>
  <si>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</si>
  <si>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</si>
  <si>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</si>
  <si>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</si>
  <si>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</si>
  <si>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</si>
  <si>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</si>
  <si>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</si>
  <si>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</si>
  <si>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</si>
  <si>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</si>
  <si>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</si>
  <si>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</si>
  <si>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</si>
  <si>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</si>
  <si>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</si>
  <si>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</si>
  <si>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</si>
  <si>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</si>
  <si>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</si>
  <si>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</si>
  <si>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</si>
  <si>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</si>
  <si>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</si>
  <si>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</si>
  <si>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</si>
  <si>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</si>
  <si>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</si>
  <si>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</si>
  <si>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</si>
  <si>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</si>
  <si>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</si>
  <si>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</si>
  <si>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</si>
  <si>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</si>
  <si>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</si>
  <si>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塞维利亚</t>
    <phoneticPr fontId="1"/>
  </si>
  <si>
    <t>皇家马德里</t>
    <phoneticPr fontId="1"/>
  </si>
  <si>
    <t>比利亚雷亚尔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</si>
  <si>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</si>
  <si>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</si>
  <si>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</si>
  <si>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</si>
  <si>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t>奥林匹亚科斯</t>
    <phoneticPr fontId="1"/>
  </si>
  <si>
    <t>贝西科塔斯</t>
    <phoneticPr fontId="1"/>
  </si>
  <si>
    <t>布鲁日</t>
    <phoneticPr fontId="1"/>
  </si>
  <si>
    <t>莫斯科中央陆军</t>
    <phoneticPr fontId="1"/>
  </si>
  <si>
    <t>加拉塔萨雷</t>
    <phoneticPr fontId="1"/>
  </si>
  <si>
    <t>莫斯科斯巴达</t>
    <phoneticPr fontId="1"/>
  </si>
  <si>
    <t>费内巴切</t>
    <phoneticPr fontId="1"/>
  </si>
  <si>
    <t>国际米兰</t>
    <phoneticPr fontId="1"/>
  </si>
  <si>
    <t>都灵</t>
    <phoneticPr fontId="1"/>
  </si>
  <si>
    <t>尤文图斯</t>
    <phoneticPr fontId="1"/>
  </si>
  <si>
    <t>那不勒斯</t>
    <phoneticPr fontId="1"/>
  </si>
  <si>
    <t>萨索洛</t>
    <phoneticPr fontId="1"/>
  </si>
  <si>
    <t>拉齐奥</t>
    <phoneticPr fontId="1"/>
  </si>
  <si>
    <t>罗马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</si>
</sst>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tabSelected="1" workbookViewId="0">
      <selection activeCell="F22" sqref="F22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/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/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/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/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/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/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/>
    </row>
    <row r="12" spans="1:8">
      <c r="B12">
        <f t="shared" ref="B12:G12" ca="1" si="0">SUM(B14:B20)</f>
        <v>1</v>
      </c>
      <c r="C12">
        <f t="shared" ca="1" si="0"/>
        <v>5</v>
      </c>
      <c r="D12">
        <f t="shared" ca="1" si="0"/>
        <v>9</v>
      </c>
      <c r="E12">
        <f t="shared" ca="1" si="0"/>
        <v>10</v>
      </c>
      <c r="F12">
        <f t="shared" ca="1" si="0"/>
        <v>3</v>
      </c>
      <c r="G12">
        <f t="shared" ca="1" si="0"/>
        <v>0</v>
      </c>
      <c r="H12">
        <f ca="1">SUM(H14:H20)</f>
        <v>4</v>
      </c>
    </row>
    <row r="13" spans="1:8">
      <c r="A13" s="40" t="str">
        <f ca="1">"残比"&amp;SUM(B14:H20)/2</f>
        <v>残比16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t="shared" ref="B14:C20" ca="1" si="1">C24+C34+C44</f>
        <v>0</v>
      </c>
      <c r="D14" s="27">
        <f t="shared" ref="D14:G14" ca="1" si="2">D24+D34+D44</f>
        <v>1</v>
      </c>
      <c r="E14" s="27">
        <f t="shared" ca="1" si="2"/>
        <v>0</v>
      </c>
      <c r="F14" s="27">
        <f t="shared" ca="1" si="2"/>
        <v>0</v>
      </c>
      <c r="G14" s="27">
        <f t="shared" ca="1" si="2"/>
        <v>0</v>
      </c>
      <c r="H14" s="27">
        <f ca="1">H24+H34+H44</f>
        <v>0</v>
      </c>
    </row>
    <row r="15" spans="1:8">
      <c r="A15" s="31" t="s">
        <v>56</v>
      </c>
      <c r="B15" s="27">
        <f ca="1">B25+B35+B45</f>
        <v>0</v>
      </c>
      <c r="C15" s="39"/>
      <c r="D15" s="27">
        <f t="shared" ref="D15:H15" ca="1" si="3">D25+D35+D45</f>
        <v>2</v>
      </c>
      <c r="E15" s="27">
        <f t="shared" ca="1" si="3"/>
        <v>3</v>
      </c>
      <c r="F15" s="27">
        <f t="shared" ca="1" si="3"/>
        <v>0</v>
      </c>
      <c r="G15" s="27">
        <f t="shared" ca="1" si="3"/>
        <v>0</v>
      </c>
      <c r="H15" s="27">
        <f t="shared" ca="1" si="3"/>
        <v>0</v>
      </c>
    </row>
    <row r="16" spans="1:8">
      <c r="A16" s="32" t="s">
        <v>60</v>
      </c>
      <c r="B16" s="27">
        <f t="shared" ca="1" si="1"/>
        <v>1</v>
      </c>
      <c r="C16" s="27">
        <f t="shared" ca="1" si="1"/>
        <v>2</v>
      </c>
      <c r="D16" s="39"/>
      <c r="E16" s="27">
        <f t="shared" ref="E16:H16" ca="1" si="4">E26+E36+E46</f>
        <v>3</v>
      </c>
      <c r="F16" s="27">
        <f t="shared" ca="1" si="4"/>
        <v>0</v>
      </c>
      <c r="G16" s="27">
        <f t="shared" ca="1" si="4"/>
        <v>0</v>
      </c>
      <c r="H16" s="27">
        <f t="shared" ca="1" si="4"/>
        <v>3</v>
      </c>
    </row>
    <row r="17" spans="1:8">
      <c r="A17" s="30" t="s">
        <v>64</v>
      </c>
      <c r="B17" s="27">
        <f t="shared" ca="1" si="1"/>
        <v>0</v>
      </c>
      <c r="C17" s="27">
        <f t="shared" ca="1" si="1"/>
        <v>3</v>
      </c>
      <c r="D17" s="27">
        <f t="shared" ref="D17" ca="1" si="5">D27+D37+D47</f>
        <v>3</v>
      </c>
      <c r="E17" s="39"/>
      <c r="F17" s="27">
        <f t="shared" ref="F17:H17" ca="1" si="6">F27+F37+F47</f>
        <v>3</v>
      </c>
      <c r="G17" s="27">
        <f t="shared" ca="1" si="6"/>
        <v>0</v>
      </c>
      <c r="H17" s="27">
        <f t="shared" ca="1" si="6"/>
        <v>1</v>
      </c>
    </row>
    <row r="18" spans="1:8">
      <c r="A18" s="31" t="s">
        <v>68</v>
      </c>
      <c r="B18" s="27">
        <f t="shared" ca="1" si="1"/>
        <v>0</v>
      </c>
      <c r="C18" s="27">
        <f t="shared" ca="1" si="1"/>
        <v>0</v>
      </c>
      <c r="D18" s="27">
        <f t="shared" ref="D18:E18" ca="1" si="7">D28+D38+D48</f>
        <v>0</v>
      </c>
      <c r="E18" s="27">
        <f t="shared" ca="1" si="7"/>
        <v>3</v>
      </c>
      <c r="F18" s="39"/>
      <c r="G18" s="27">
        <f t="shared" ref="G18:H18" ca="1" si="8">G28+G38+G48</f>
        <v>0</v>
      </c>
      <c r="H18" s="27">
        <f t="shared" ca="1" si="8"/>
        <v>0</v>
      </c>
    </row>
    <row r="19" spans="1:8">
      <c r="A19" s="30" t="s">
        <v>72</v>
      </c>
      <c r="B19" s="27">
        <f t="shared" ca="1" si="1"/>
        <v>0</v>
      </c>
      <c r="C19" s="27">
        <f t="shared" ca="1" si="1"/>
        <v>0</v>
      </c>
      <c r="D19" s="27">
        <f t="shared" ref="D19:F19" ca="1" si="9">D29+D39+D49</f>
        <v>0</v>
      </c>
      <c r="E19" s="27">
        <f t="shared" ca="1" si="9"/>
        <v>0</v>
      </c>
      <c r="F19" s="27">
        <f t="shared" ca="1" si="9"/>
        <v>0</v>
      </c>
      <c r="G19" s="39"/>
      <c r="H19" s="27">
        <f t="shared" ref="H19" ca="1" si="10">H29+H39+H49</f>
        <v>0</v>
      </c>
    </row>
    <row r="20" spans="1:8">
      <c r="A20" s="30" t="s">
        <v>76</v>
      </c>
      <c r="B20" s="27">
        <f t="shared" ca="1" si="1"/>
        <v>0</v>
      </c>
      <c r="C20" s="27">
        <f t="shared" ca="1" si="1"/>
        <v>0</v>
      </c>
      <c r="D20" s="27">
        <f t="shared" ref="D20:G20" ca="1" si="11">D30+D40+D50</f>
        <v>3</v>
      </c>
      <c r="E20" s="27">
        <f t="shared" ca="1" si="11"/>
        <v>1</v>
      </c>
      <c r="F20" s="27">
        <f t="shared" ca="1" si="11"/>
        <v>0</v>
      </c>
      <c r="G20" s="27">
        <f t="shared" ca="1" si="11"/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2">COUNTIF(INDIRECT($A$23&amp;"!$H:$H"),$A24&amp;D$23)+COUNTIF(INDIRECT($A$23&amp;"!$H:$H"),D$23&amp;$A24)</f>
        <v>0</v>
      </c>
      <c r="E24" s="27">
        <f t="shared" ca="1" si="12"/>
        <v>0</v>
      </c>
      <c r="F24" s="27">
        <f t="shared" ca="1" si="12"/>
        <v>0</v>
      </c>
      <c r="G24" s="27">
        <f t="shared" ca="1" si="12"/>
        <v>0</v>
      </c>
      <c r="H24" s="27">
        <f t="shared" ca="1" si="12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2"/>
        <v>1</v>
      </c>
      <c r="E25" s="27">
        <f t="shared" ca="1" si="12"/>
        <v>1</v>
      </c>
      <c r="F25" s="27">
        <f t="shared" ca="1" si="12"/>
        <v>0</v>
      </c>
      <c r="G25" s="27">
        <f t="shared" ca="1" si="12"/>
        <v>0</v>
      </c>
      <c r="H25" s="27">
        <f t="shared" ca="1" si="12"/>
        <v>0</v>
      </c>
    </row>
    <row r="26" spans="1:8" outlineLevel="1">
      <c r="A26" s="32" t="s">
        <v>60</v>
      </c>
      <c r="B26" s="27">
        <f t="shared" ref="B26:E30" ca="1" si="13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1</v>
      </c>
      <c r="D26" s="33"/>
      <c r="E26" s="27">
        <f t="shared" ca="1" si="12"/>
        <v>1</v>
      </c>
      <c r="F26" s="27">
        <f t="shared" ca="1" si="12"/>
        <v>0</v>
      </c>
      <c r="G26" s="27">
        <f t="shared" ca="1" si="12"/>
        <v>0</v>
      </c>
      <c r="H26" s="27">
        <f t="shared" ca="1" si="12"/>
        <v>1</v>
      </c>
    </row>
    <row r="27" spans="1:8" outlineLevel="1">
      <c r="A27" s="30" t="s">
        <v>64</v>
      </c>
      <c r="B27" s="27">
        <f t="shared" ca="1" si="13"/>
        <v>0</v>
      </c>
      <c r="C27" s="27">
        <f t="shared" ca="1" si="13"/>
        <v>1</v>
      </c>
      <c r="D27" s="27">
        <f t="shared" ca="1" si="13"/>
        <v>1</v>
      </c>
      <c r="E27" s="33"/>
      <c r="F27" s="27">
        <f t="shared" ca="1" si="12"/>
        <v>1</v>
      </c>
      <c r="G27" s="27">
        <f t="shared" ca="1" si="12"/>
        <v>0</v>
      </c>
      <c r="H27" s="27">
        <f t="shared" ca="1" si="12"/>
        <v>0</v>
      </c>
    </row>
    <row r="28" spans="1:8" outlineLevel="1">
      <c r="A28" s="31" t="s">
        <v>68</v>
      </c>
      <c r="B28" s="27">
        <f t="shared" ca="1" si="13"/>
        <v>0</v>
      </c>
      <c r="C28" s="27">
        <f t="shared" ca="1" si="13"/>
        <v>0</v>
      </c>
      <c r="D28" s="27">
        <f t="shared" ca="1" si="13"/>
        <v>0</v>
      </c>
      <c r="E28" s="27">
        <f t="shared" ca="1" si="13"/>
        <v>1</v>
      </c>
      <c r="F28" s="33"/>
      <c r="G28" s="27">
        <f t="shared" ca="1" si="12"/>
        <v>0</v>
      </c>
      <c r="H28" s="27">
        <f t="shared" ca="1" si="12"/>
        <v>0</v>
      </c>
    </row>
    <row r="29" spans="1:8" outlineLevel="1">
      <c r="A29" s="30" t="s">
        <v>72</v>
      </c>
      <c r="B29" s="27">
        <f t="shared" ca="1" si="13"/>
        <v>0</v>
      </c>
      <c r="C29" s="27">
        <f t="shared" ca="1" si="13"/>
        <v>0</v>
      </c>
      <c r="D29" s="27">
        <f t="shared" ca="1" si="13"/>
        <v>0</v>
      </c>
      <c r="E29" s="27">
        <f t="shared" ca="1" si="13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13"/>
        <v>0</v>
      </c>
      <c r="C30" s="27">
        <f t="shared" ca="1" si="13"/>
        <v>0</v>
      </c>
      <c r="D30" s="27">
        <f t="shared" ca="1" si="13"/>
        <v>1</v>
      </c>
      <c r="E30" s="27">
        <f t="shared" ca="1" si="13"/>
        <v>0</v>
      </c>
      <c r="F30" s="27">
        <f t="shared" ref="F30:G30" ca="1" si="14">COUNTIF(INDIRECT($A$23&amp;"!$H:$H"),$A30&amp;F$23)+COUNTIF(INDIRECT($A$23&amp;"!$H:$H"),F$23&amp;$A30)</f>
        <v>0</v>
      </c>
      <c r="G30" s="27">
        <f t="shared" ca="1" si="14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5">COUNTIF(INDIRECT($A$33&amp;"!$H:$H"),$A34&amp;D$23)+COUNTIF(INDIRECT($A$33&amp;"!$H:$H"),D$23&amp;$A34)</f>
        <v>0</v>
      </c>
      <c r="E34" s="27">
        <f t="shared" ca="1" si="15"/>
        <v>0</v>
      </c>
      <c r="F34" s="27">
        <f t="shared" ca="1" si="15"/>
        <v>0</v>
      </c>
      <c r="G34" s="27">
        <f t="shared" ca="1" si="15"/>
        <v>0</v>
      </c>
      <c r="H34" s="27">
        <f t="shared" ca="1" si="15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5"/>
        <v>1</v>
      </c>
      <c r="E35" s="27">
        <f t="shared" ca="1" si="15"/>
        <v>2</v>
      </c>
      <c r="F35" s="27">
        <f t="shared" ca="1" si="15"/>
        <v>0</v>
      </c>
      <c r="G35" s="27">
        <f t="shared" ca="1" si="15"/>
        <v>0</v>
      </c>
      <c r="H35" s="27">
        <f t="shared" ca="1" si="15"/>
        <v>0</v>
      </c>
    </row>
    <row r="36" spans="1:8" outlineLevel="1">
      <c r="A36" s="32" t="s">
        <v>60</v>
      </c>
      <c r="B36" s="27">
        <f t="shared" ref="B36:F40" ca="1" si="16">COUNTIF(INDIRECT($A$33&amp;"!$H:$H"),$A36&amp;B$23)+COUNTIF(INDIRECT($A$33&amp;"!$H:$H"),B$23&amp;$A36)</f>
        <v>0</v>
      </c>
      <c r="C36" s="27">
        <f t="shared" ca="1" si="16"/>
        <v>1</v>
      </c>
      <c r="D36" s="33"/>
      <c r="E36" s="27">
        <f t="shared" ca="1" si="15"/>
        <v>1</v>
      </c>
      <c r="F36" s="27">
        <f t="shared" ca="1" si="15"/>
        <v>0</v>
      </c>
      <c r="G36" s="27">
        <f t="shared" ca="1" si="15"/>
        <v>0</v>
      </c>
      <c r="H36" s="27">
        <f t="shared" ca="1" si="15"/>
        <v>1</v>
      </c>
    </row>
    <row r="37" spans="1:8" outlineLevel="1">
      <c r="A37" s="30" t="s">
        <v>64</v>
      </c>
      <c r="B37" s="27">
        <f t="shared" ca="1" si="16"/>
        <v>0</v>
      </c>
      <c r="C37" s="27">
        <f t="shared" ca="1" si="16"/>
        <v>2</v>
      </c>
      <c r="D37" s="27">
        <f t="shared" ca="1" si="16"/>
        <v>1</v>
      </c>
      <c r="E37" s="33"/>
      <c r="F37" s="27">
        <f t="shared" ca="1" si="15"/>
        <v>1</v>
      </c>
      <c r="G37" s="27">
        <f t="shared" ca="1" si="15"/>
        <v>0</v>
      </c>
      <c r="H37" s="27">
        <f t="shared" ca="1" si="15"/>
        <v>1</v>
      </c>
    </row>
    <row r="38" spans="1:8" outlineLevel="1">
      <c r="A38" s="31" t="s">
        <v>68</v>
      </c>
      <c r="B38" s="27">
        <f t="shared" ca="1" si="16"/>
        <v>0</v>
      </c>
      <c r="C38" s="27">
        <f t="shared" ca="1" si="16"/>
        <v>0</v>
      </c>
      <c r="D38" s="27">
        <f t="shared" ca="1" si="16"/>
        <v>0</v>
      </c>
      <c r="E38" s="27">
        <f t="shared" ca="1" si="16"/>
        <v>1</v>
      </c>
      <c r="F38" s="33"/>
      <c r="G38" s="27">
        <f t="shared" ca="1" si="15"/>
        <v>0</v>
      </c>
      <c r="H38" s="27">
        <f t="shared" ca="1" si="15"/>
        <v>0</v>
      </c>
    </row>
    <row r="39" spans="1:8" outlineLevel="1">
      <c r="A39" s="30" t="s">
        <v>72</v>
      </c>
      <c r="B39" s="27">
        <f t="shared" ca="1" si="16"/>
        <v>0</v>
      </c>
      <c r="C39" s="27">
        <f t="shared" ca="1" si="16"/>
        <v>0</v>
      </c>
      <c r="D39" s="27">
        <f t="shared" ca="1" si="16"/>
        <v>0</v>
      </c>
      <c r="E39" s="27">
        <f t="shared" ca="1" si="16"/>
        <v>0</v>
      </c>
      <c r="F39" s="27">
        <f t="shared" ca="1" si="16"/>
        <v>0</v>
      </c>
      <c r="G39" s="33"/>
      <c r="H39" s="27">
        <f t="shared" ca="1" si="15"/>
        <v>0</v>
      </c>
    </row>
    <row r="40" spans="1:8" outlineLevel="1">
      <c r="A40" s="30" t="s">
        <v>76</v>
      </c>
      <c r="B40" s="27">
        <f t="shared" ca="1" si="16"/>
        <v>0</v>
      </c>
      <c r="C40" s="27">
        <f t="shared" ca="1" si="16"/>
        <v>0</v>
      </c>
      <c r="D40" s="27">
        <f t="shared" ca="1" si="16"/>
        <v>1</v>
      </c>
      <c r="E40" s="27">
        <f t="shared" ca="1" si="16"/>
        <v>1</v>
      </c>
      <c r="F40" s="27">
        <f t="shared" ca="1" si="16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7">COUNTIF(INDIRECT($A$43&amp;"!$H:$H"),$A44&amp;D$23)+COUNTIF(INDIRECT($A$43&amp;"!$H:$H"),D$23&amp;$A44)</f>
        <v>1</v>
      </c>
      <c r="E44" s="27">
        <f t="shared" ca="1" si="17"/>
        <v>0</v>
      </c>
      <c r="F44" s="27">
        <f t="shared" ca="1" si="17"/>
        <v>0</v>
      </c>
      <c r="G44" s="27">
        <f t="shared" ca="1" si="17"/>
        <v>0</v>
      </c>
      <c r="H44" s="27">
        <f t="shared" ca="1" si="17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7"/>
        <v>0</v>
      </c>
      <c r="E45" s="27">
        <f t="shared" ca="1" si="17"/>
        <v>0</v>
      </c>
      <c r="F45" s="27">
        <f t="shared" ca="1" si="17"/>
        <v>0</v>
      </c>
      <c r="G45" s="27">
        <f t="shared" ca="1" si="17"/>
        <v>0</v>
      </c>
      <c r="H45" s="27">
        <f t="shared" ca="1" si="17"/>
        <v>0</v>
      </c>
    </row>
    <row r="46" spans="1:8" outlineLevel="1">
      <c r="A46" s="32" t="s">
        <v>60</v>
      </c>
      <c r="B46" s="27">
        <f t="shared" ref="B46:F50" ca="1" si="18">COUNTIF(INDIRECT($A$43&amp;"!$H:$H"),$A46&amp;B$23)+COUNTIF(INDIRECT($A$43&amp;"!$H:$H"),B$23&amp;$A46)</f>
        <v>1</v>
      </c>
      <c r="C46" s="27">
        <f t="shared" ca="1" si="18"/>
        <v>0</v>
      </c>
      <c r="D46" s="33"/>
      <c r="E46" s="27">
        <f t="shared" ca="1" si="17"/>
        <v>1</v>
      </c>
      <c r="F46" s="27">
        <f t="shared" ca="1" si="17"/>
        <v>0</v>
      </c>
      <c r="G46" s="27">
        <f t="shared" ca="1" si="17"/>
        <v>0</v>
      </c>
      <c r="H46" s="27">
        <f t="shared" ca="1" si="17"/>
        <v>1</v>
      </c>
    </row>
    <row r="47" spans="1:8" outlineLevel="1">
      <c r="A47" s="30" t="s">
        <v>64</v>
      </c>
      <c r="B47" s="27">
        <f t="shared" ca="1" si="18"/>
        <v>0</v>
      </c>
      <c r="C47" s="27">
        <f t="shared" ca="1" si="18"/>
        <v>0</v>
      </c>
      <c r="D47" s="27">
        <f t="shared" ca="1" si="18"/>
        <v>1</v>
      </c>
      <c r="E47" s="33"/>
      <c r="F47" s="27">
        <f t="shared" ca="1" si="17"/>
        <v>1</v>
      </c>
      <c r="G47" s="27">
        <f t="shared" ca="1" si="17"/>
        <v>0</v>
      </c>
      <c r="H47" s="27">
        <f t="shared" ca="1" si="17"/>
        <v>0</v>
      </c>
    </row>
    <row r="48" spans="1:8" outlineLevel="1">
      <c r="A48" s="31" t="s">
        <v>68</v>
      </c>
      <c r="B48" s="27">
        <f t="shared" ca="1" si="18"/>
        <v>0</v>
      </c>
      <c r="C48" s="27">
        <f t="shared" ca="1" si="18"/>
        <v>0</v>
      </c>
      <c r="D48" s="27">
        <f t="shared" ca="1" si="18"/>
        <v>0</v>
      </c>
      <c r="E48" s="27">
        <f t="shared" ca="1" si="18"/>
        <v>1</v>
      </c>
      <c r="F48" s="33"/>
      <c r="G48" s="27">
        <f t="shared" ca="1" si="17"/>
        <v>0</v>
      </c>
      <c r="H48" s="27">
        <f t="shared" ca="1" si="17"/>
        <v>0</v>
      </c>
    </row>
    <row r="49" spans="1:8" outlineLevel="1">
      <c r="A49" s="30" t="s">
        <v>72</v>
      </c>
      <c r="B49" s="27">
        <f t="shared" ca="1" si="18"/>
        <v>0</v>
      </c>
      <c r="C49" s="27">
        <f t="shared" ca="1" si="18"/>
        <v>0</v>
      </c>
      <c r="D49" s="27">
        <f t="shared" ca="1" si="18"/>
        <v>0</v>
      </c>
      <c r="E49" s="27">
        <f t="shared" ca="1" si="18"/>
        <v>0</v>
      </c>
      <c r="F49" s="27">
        <f t="shared" ca="1" si="18"/>
        <v>0</v>
      </c>
      <c r="G49" s="33"/>
      <c r="H49" s="27">
        <f t="shared" ca="1" si="17"/>
        <v>0</v>
      </c>
    </row>
    <row r="50" spans="1:8" outlineLevel="1">
      <c r="A50" s="30" t="s">
        <v>76</v>
      </c>
      <c r="B50" s="27">
        <f t="shared" ca="1" si="18"/>
        <v>0</v>
      </c>
      <c r="C50" s="27">
        <f t="shared" ca="1" si="18"/>
        <v>0</v>
      </c>
      <c r="D50" s="27">
        <f t="shared" ca="1" si="18"/>
        <v>1</v>
      </c>
      <c r="E50" s="27">
        <f t="shared" ca="1" si="18"/>
        <v>0</v>
      </c>
      <c r="F50" s="27">
        <f t="shared" ca="1" si="18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opLeftCell="A22" workbookViewId="0">
      <selection activeCell="B44" sqref="B4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93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94</v>
      </c>
      <c r="C3" s="2">
        <v>12</v>
      </c>
      <c r="D3" s="2">
        <v>7</v>
      </c>
      <c r="E3" s="2">
        <v>1</v>
      </c>
      <c r="F3" s="2">
        <v>4</v>
      </c>
      <c r="G3" s="2">
        <v>22</v>
      </c>
      <c r="H3" s="2">
        <v>17</v>
      </c>
      <c r="I3" s="2">
        <v>5</v>
      </c>
      <c r="J3" s="2">
        <v>22</v>
      </c>
      <c r="K3" s="23" t="str">
        <f t="shared" si="0"/>
        <v/>
      </c>
      <c r="L3" s="22">
        <f t="shared" ref="L3:L8" si="1">((COUNTA(A$2:A$15)-1)*2-C3)*3+J3</f>
        <v>22</v>
      </c>
      <c r="M3" s="22"/>
    </row>
    <row r="4" spans="1:13">
      <c r="A4" s="3">
        <v>3</v>
      </c>
      <c r="B4" s="2" t="s">
        <v>95</v>
      </c>
      <c r="C4" s="2">
        <v>10</v>
      </c>
      <c r="D4" s="2">
        <v>7</v>
      </c>
      <c r="E4" s="2">
        <v>0</v>
      </c>
      <c r="F4" s="2">
        <v>3</v>
      </c>
      <c r="G4" s="2">
        <v>16</v>
      </c>
      <c r="H4" s="2">
        <v>8</v>
      </c>
      <c r="I4" s="2">
        <v>8</v>
      </c>
      <c r="J4" s="2">
        <v>21</v>
      </c>
      <c r="K4" s="23" t="str">
        <f t="shared" si="0"/>
        <v/>
      </c>
      <c r="L4" s="22">
        <f t="shared" si="1"/>
        <v>27</v>
      </c>
      <c r="M4" s="22"/>
    </row>
    <row r="5" spans="1:13">
      <c r="A5" s="3">
        <v>4</v>
      </c>
      <c r="B5" s="2" t="s">
        <v>96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97</v>
      </c>
      <c r="C6" s="2">
        <v>9</v>
      </c>
      <c r="D6" s="2">
        <v>4</v>
      </c>
      <c r="E6" s="2">
        <v>1</v>
      </c>
      <c r="F6" s="2">
        <v>4</v>
      </c>
      <c r="G6" s="2">
        <v>14</v>
      </c>
      <c r="H6" s="2">
        <v>14</v>
      </c>
      <c r="I6" s="2">
        <v>0</v>
      </c>
      <c r="J6" s="2">
        <v>13</v>
      </c>
      <c r="K6" s="23" t="str">
        <f t="shared" si="0"/>
        <v/>
      </c>
      <c r="L6" s="22">
        <f t="shared" si="1"/>
        <v>22</v>
      </c>
      <c r="M6" s="22"/>
    </row>
    <row r="7" spans="1:13">
      <c r="A7" s="3">
        <v>6</v>
      </c>
      <c r="B7" s="2" t="s">
        <v>98</v>
      </c>
      <c r="C7" s="2">
        <v>9</v>
      </c>
      <c r="D7" s="2">
        <v>2</v>
      </c>
      <c r="E7" s="2">
        <v>0</v>
      </c>
      <c r="F7" s="2">
        <v>7</v>
      </c>
      <c r="G7" s="2">
        <v>7</v>
      </c>
      <c r="H7" s="2">
        <v>19</v>
      </c>
      <c r="I7" s="2">
        <v>-12</v>
      </c>
      <c r="J7" s="2">
        <v>6</v>
      </c>
      <c r="K7" s="23" t="str">
        <f t="shared" si="0"/>
        <v/>
      </c>
      <c r="L7" s="22">
        <f t="shared" si="1"/>
        <v>15</v>
      </c>
      <c r="M7" s="22"/>
    </row>
    <row r="8" spans="1:13">
      <c r="A8" s="3">
        <v>7</v>
      </c>
      <c r="B8" s="2" t="s">
        <v>99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J21" sqref="J21"/>
    </sheetView>
  </sheetViews>
  <sheetFormatPr defaultRowHeight="13.5"/>
  <cols>
    <col min="1" max="1" width="7.125" bestFit="1" customWidth="1"/>
    <col min="2" max="2" width="11.875" customWidth="1"/>
    <col min="3" max="3" width="3.5" bestFit="1" customWidth="1"/>
    <col min="4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100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27</v>
      </c>
    </row>
    <row r="3" spans="1:12">
      <c r="A3" s="3">
        <v>2</v>
      </c>
      <c r="B3" s="2" t="s">
        <v>101</v>
      </c>
      <c r="C3" s="2">
        <v>11</v>
      </c>
      <c r="D3" s="2">
        <v>7</v>
      </c>
      <c r="E3" s="2">
        <v>1</v>
      </c>
      <c r="F3" s="2">
        <v>3</v>
      </c>
      <c r="G3" s="2">
        <v>17</v>
      </c>
      <c r="H3" s="2">
        <v>15</v>
      </c>
      <c r="I3" s="2">
        <v>2</v>
      </c>
      <c r="J3" s="2">
        <v>22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102</v>
      </c>
      <c r="C4" s="2">
        <v>9</v>
      </c>
      <c r="D4" s="2">
        <v>6</v>
      </c>
      <c r="E4" s="2">
        <v>0</v>
      </c>
      <c r="F4" s="2">
        <v>3</v>
      </c>
      <c r="G4" s="2">
        <v>25</v>
      </c>
      <c r="H4" s="2">
        <v>13</v>
      </c>
      <c r="I4" s="2">
        <v>12</v>
      </c>
      <c r="J4" s="2">
        <v>18</v>
      </c>
      <c r="K4" s="23" t="str">
        <f t="shared" si="0"/>
        <v/>
      </c>
      <c r="L4" s="22">
        <f t="shared" si="1"/>
        <v>27</v>
      </c>
    </row>
    <row r="5" spans="1:12">
      <c r="A5" s="3">
        <v>4</v>
      </c>
      <c r="B5" s="2" t="s">
        <v>103</v>
      </c>
      <c r="C5" s="2">
        <v>9</v>
      </c>
      <c r="D5" s="2">
        <v>6</v>
      </c>
      <c r="E5" s="2">
        <v>0</v>
      </c>
      <c r="F5" s="2">
        <v>3</v>
      </c>
      <c r="G5" s="2">
        <v>15</v>
      </c>
      <c r="H5" s="2">
        <v>9</v>
      </c>
      <c r="I5" s="2">
        <v>6</v>
      </c>
      <c r="J5" s="2">
        <v>18</v>
      </c>
      <c r="K5" s="23" t="str">
        <f t="shared" si="0"/>
        <v/>
      </c>
      <c r="L5" s="22">
        <f t="shared" si="1"/>
        <v>27</v>
      </c>
    </row>
    <row r="6" spans="1:12">
      <c r="A6" s="3">
        <v>5</v>
      </c>
      <c r="B6" s="2" t="s">
        <v>104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105</v>
      </c>
      <c r="C7" s="2">
        <v>7</v>
      </c>
      <c r="D7" s="2">
        <v>0</v>
      </c>
      <c r="E7" s="2">
        <v>1</v>
      </c>
      <c r="F7" s="2">
        <v>6</v>
      </c>
      <c r="G7" s="2">
        <v>4</v>
      </c>
      <c r="H7" s="2">
        <v>16</v>
      </c>
      <c r="I7" s="2">
        <v>-12</v>
      </c>
      <c r="J7" s="2">
        <v>1</v>
      </c>
      <c r="K7" s="23" t="str">
        <f t="shared" si="0"/>
        <v/>
      </c>
      <c r="L7" s="22">
        <f t="shared" si="1"/>
        <v>16</v>
      </c>
    </row>
    <row r="8" spans="1:12">
      <c r="A8" s="3">
        <v>7</v>
      </c>
      <c r="B8" s="2" t="s">
        <v>106</v>
      </c>
      <c r="C8" s="2">
        <v>10</v>
      </c>
      <c r="D8" s="2">
        <v>0</v>
      </c>
      <c r="E8" s="2">
        <v>1</v>
      </c>
      <c r="F8" s="2">
        <v>9</v>
      </c>
      <c r="G8" s="2">
        <v>4</v>
      </c>
      <c r="H8" s="2">
        <v>26</v>
      </c>
      <c r="I8" s="2">
        <v>-22</v>
      </c>
      <c r="J8" s="10">
        <v>1</v>
      </c>
      <c r="K8" s="23" t="str">
        <f t="shared" si="0"/>
        <v/>
      </c>
      <c r="L8" s="22">
        <f t="shared" si="1"/>
        <v>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J18" sqref="J18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107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108</v>
      </c>
      <c r="C3" s="2">
        <v>11</v>
      </c>
      <c r="D3" s="2">
        <v>7</v>
      </c>
      <c r="E3" s="2">
        <v>2</v>
      </c>
      <c r="F3" s="2">
        <v>2</v>
      </c>
      <c r="G3" s="2">
        <v>23</v>
      </c>
      <c r="H3" s="2">
        <v>11</v>
      </c>
      <c r="I3" s="2">
        <v>12</v>
      </c>
      <c r="J3" s="2">
        <v>23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109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110</v>
      </c>
      <c r="C5" s="2">
        <v>11</v>
      </c>
      <c r="D5" s="2">
        <v>5</v>
      </c>
      <c r="E5" s="2">
        <v>2</v>
      </c>
      <c r="F5" s="2">
        <v>4</v>
      </c>
      <c r="G5" s="2">
        <v>18</v>
      </c>
      <c r="H5" s="2">
        <v>15</v>
      </c>
      <c r="I5" s="2">
        <v>3</v>
      </c>
      <c r="J5" s="2">
        <v>17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111</v>
      </c>
      <c r="C6" s="2">
        <v>9</v>
      </c>
      <c r="D6" s="2">
        <v>2</v>
      </c>
      <c r="E6" s="2">
        <v>3</v>
      </c>
      <c r="F6" s="2">
        <v>4</v>
      </c>
      <c r="G6" s="2">
        <v>12</v>
      </c>
      <c r="H6" s="2">
        <v>14</v>
      </c>
      <c r="I6" s="2">
        <v>-2</v>
      </c>
      <c r="J6" s="2">
        <v>9</v>
      </c>
      <c r="K6" s="23" t="str">
        <f t="shared" si="0"/>
        <v/>
      </c>
      <c r="L6" s="22">
        <f t="shared" si="1"/>
        <v>18</v>
      </c>
    </row>
    <row r="7" spans="1:12">
      <c r="A7" s="3">
        <v>6</v>
      </c>
      <c r="B7" s="2" t="s">
        <v>112</v>
      </c>
      <c r="C7" s="2">
        <v>10</v>
      </c>
      <c r="D7" s="2">
        <v>2</v>
      </c>
      <c r="E7" s="2">
        <v>3</v>
      </c>
      <c r="F7" s="2">
        <v>5</v>
      </c>
      <c r="G7" s="2">
        <v>14</v>
      </c>
      <c r="H7" s="2">
        <v>28</v>
      </c>
      <c r="I7" s="2">
        <v>-14</v>
      </c>
      <c r="J7" s="2">
        <v>9</v>
      </c>
      <c r="K7" s="23" t="str">
        <f t="shared" si="0"/>
        <v/>
      </c>
      <c r="L7" s="22">
        <f t="shared" si="1"/>
        <v>15</v>
      </c>
    </row>
    <row r="8" spans="1:12">
      <c r="A8" s="3">
        <v>7</v>
      </c>
      <c r="B8" s="2" t="s">
        <v>113</v>
      </c>
      <c r="C8" s="2">
        <v>11</v>
      </c>
      <c r="D8" s="2">
        <v>0</v>
      </c>
      <c r="E8" s="2">
        <v>0</v>
      </c>
      <c r="F8" s="2">
        <v>11</v>
      </c>
      <c r="G8" s="2">
        <v>4</v>
      </c>
      <c r="H8" s="2">
        <v>22</v>
      </c>
      <c r="I8" s="2">
        <v>-18</v>
      </c>
      <c r="J8" s="10">
        <v>0</v>
      </c>
      <c r="K8" s="23" t="str">
        <f t="shared" si="0"/>
        <v>降决</v>
      </c>
      <c r="L8" s="22">
        <f t="shared" si="1"/>
        <v>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34" workbookViewId="0">
      <selection activeCell="D50" sqref="D50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13" workbookViewId="0">
      <selection activeCell="D34" sqref="D34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2" workbookViewId="0">
      <selection activeCell="G71" sqref="G71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2018-05-24T05:50:31Z</dcterms:modified>
</cp:coreProperties>
</file>